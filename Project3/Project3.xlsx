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ubcca-my.sharepoint.com/personal/hamed_helisaz_ubc_ca/Documents/Diplima in Land and Urban Economics/BUSI 444/"/>
    </mc:Choice>
  </mc:AlternateContent>
  <xr:revisionPtr revIDLastSave="642" documentId="11_F25DC773A252ABDACC1048A7A118517E5BDE58EE" xr6:coauthVersionLast="47" xr6:coauthVersionMax="47" xr10:uidLastSave="{A666BC25-38AD-4C55-ACD4-49545AF5B599}"/>
  <bookViews>
    <workbookView xWindow="-120" yWindow="-120" windowWidth="29040" windowHeight="15720" firstSheet="2" activeTab="7" xr2:uid="{00000000-000D-0000-FFFF-FFFF00000000}"/>
  </bookViews>
  <sheets>
    <sheet name="COV for Dependent Variable" sheetId="1" r:id="rId1"/>
    <sheet name="Correlation between Variables" sheetId="2" r:id="rId2"/>
    <sheet name="Comparing the Models" sheetId="3" r:id="rId3"/>
    <sheet name="Summary for Model 3" sheetId="4" r:id="rId4"/>
    <sheet name="Model 3 After UND_PARK" sheetId="5" r:id="rId5"/>
    <sheet name="Stepwise for Model 3" sheetId="6" r:id="rId6"/>
    <sheet name="Final Model" sheetId="7" r:id="rId7"/>
    <sheet name="Model Analysi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7" l="1"/>
  <c r="D22" i="7"/>
  <c r="D21" i="7"/>
  <c r="C22" i="7"/>
  <c r="E22" i="7" s="1"/>
  <c r="C21" i="7"/>
  <c r="G19" i="5"/>
  <c r="E20" i="5"/>
  <c r="E19" i="5"/>
  <c r="E21" i="5" s="1"/>
  <c r="D20" i="5"/>
  <c r="F20" i="5" s="1"/>
  <c r="D19" i="5"/>
  <c r="D21" i="5" s="1"/>
  <c r="E20" i="4"/>
  <c r="D20" i="4"/>
  <c r="G18" i="4"/>
  <c r="F19" i="4"/>
  <c r="F18" i="4"/>
  <c r="E19" i="4"/>
  <c r="E18" i="4"/>
  <c r="D19" i="4"/>
  <c r="D18" i="4"/>
  <c r="D23" i="7" l="1"/>
  <c r="C23" i="7"/>
  <c r="E21" i="7"/>
  <c r="F19" i="5"/>
</calcChain>
</file>

<file path=xl/sharedStrings.xml><?xml version="1.0" encoding="utf-8"?>
<sst xmlns="http://schemas.openxmlformats.org/spreadsheetml/2006/main" count="354" uniqueCount="101">
  <si>
    <t>SP_UNIT_COV</t>
  </si>
  <si>
    <t>SQ_SQFT_COV</t>
  </si>
  <si>
    <t>GIM_COV</t>
  </si>
  <si>
    <t>COV</t>
  </si>
  <si>
    <t>SP_UNIT</t>
  </si>
  <si>
    <t>SP_SQFT</t>
  </si>
  <si>
    <t>CAP_RATE</t>
  </si>
  <si>
    <t>GIM</t>
  </si>
  <si>
    <t>LOT_AREA</t>
  </si>
  <si>
    <t>AREA_UNIT</t>
  </si>
  <si>
    <t>EFFAGE</t>
  </si>
  <si>
    <t>DEPREC</t>
  </si>
  <si>
    <t>EXP_EGI</t>
  </si>
  <si>
    <t>UNITS</t>
  </si>
  <si>
    <t>UND_PARK</t>
  </si>
  <si>
    <t>ELEVATOR</t>
  </si>
  <si>
    <t>NBHD_1</t>
  </si>
  <si>
    <t>NBHD_3</t>
  </si>
  <si>
    <t>NBHD_4</t>
  </si>
  <si>
    <t>CONDITION_1</t>
  </si>
  <si>
    <t>CONDITION_3</t>
  </si>
  <si>
    <t>STORY_2</t>
  </si>
  <si>
    <t>STORY_4</t>
  </si>
  <si>
    <t>SML_UNIT</t>
  </si>
  <si>
    <t>R^2</t>
  </si>
  <si>
    <t>Adjusted R^2</t>
  </si>
  <si>
    <t>SEE</t>
  </si>
  <si>
    <t>F</t>
  </si>
  <si>
    <t>Sig.</t>
  </si>
  <si>
    <t>Max VIF</t>
  </si>
  <si>
    <t>Model 2</t>
  </si>
  <si>
    <t>Model 3</t>
  </si>
  <si>
    <t>Model 4</t>
  </si>
  <si>
    <t>Model 1</t>
  </si>
  <si>
    <t>Variable</t>
  </si>
  <si>
    <t>Coefficient</t>
  </si>
  <si>
    <t>Standard_Coefficient</t>
  </si>
  <si>
    <t>t_Statistic</t>
  </si>
  <si>
    <t>Significance</t>
  </si>
  <si>
    <t>Tolerance</t>
  </si>
  <si>
    <t>VIF</t>
  </si>
  <si>
    <t>(Intercept)</t>
  </si>
  <si>
    <t>HEATTYPE</t>
  </si>
  <si>
    <t>BACH</t>
  </si>
  <si>
    <t>Response:</t>
  </si>
  <si>
    <t>GI</t>
  </si>
  <si>
    <t>M</t>
  </si>
  <si>
    <t>Df</t>
  </si>
  <si>
    <t>Sum Sq</t>
  </si>
  <si>
    <t>Mean Sq</t>
  </si>
  <si>
    <t>F value</t>
  </si>
  <si>
    <t>Pr(&gt;F)</t>
  </si>
  <si>
    <t>**</t>
  </si>
  <si>
    <t>***</t>
  </si>
  <si>
    <t>Residuals</t>
  </si>
  <si>
    <t>Regression</t>
  </si>
  <si>
    <t>Total</t>
  </si>
  <si>
    <t>Sum of Squares</t>
  </si>
  <si>
    <t>df</t>
  </si>
  <si>
    <t>Mean Square</t>
  </si>
  <si>
    <t xml:space="preserve">Sig. </t>
  </si>
  <si>
    <t>ANOVA</t>
  </si>
  <si>
    <t>---</t>
  </si>
  <si>
    <t>Signif. c</t>
  </si>
  <si>
    <t>ode</t>
  </si>
  <si>
    <t>s:  0 ‘</t>
  </si>
  <si>
    <t>***’ 0.0</t>
  </si>
  <si>
    <t>01 ‘**’</t>
  </si>
  <si>
    <t>0.01 ‘*’ 0</t>
  </si>
  <si>
    <t>.05 ‘.’ 0.1 ‘ ’ 1</t>
  </si>
  <si>
    <t>*</t>
  </si>
  <si>
    <t>ELEVATOR, LOT_AREA, AREA_UNIT, NBHD_1, NBHD_3, NBHD_4, STORY_2, STORY_4, HEATTYPE, BACH, SML_UNIT, EFFAGE</t>
  </si>
  <si>
    <t>ELEVATOR, LOT_AREA, AREA_UNIT, NBHD_1, NBHD_3, NBHD_4, STORY_2, STORY_4, BACH, SML_UNIT, EFFAGE</t>
  </si>
  <si>
    <t>ELEVATOR, LOT_AREA, AREA_UNIT, NBHD_1, NBHD_4, STORY_2, STORY_4, BACH, SML_UNIT, EFFAGE</t>
  </si>
  <si>
    <t>ELEVATOR, LOT_AREA, AREA_UNIT, NBHD_1, STORY_2, STORY_4, BACH, SML_UNIT, EFFAGE</t>
  </si>
  <si>
    <t>ELEVATOR, LOT_AREA, NBHD_1, STORY_2, STORY_4, BACH, SML_UNIT, EFFAGE</t>
  </si>
  <si>
    <t>Estimate</t>
  </si>
  <si>
    <t>Std. Error</t>
  </si>
  <si>
    <t>t value</t>
  </si>
  <si>
    <t>Pr(&gt;|t|)</t>
  </si>
  <si>
    <t>Term</t>
  </si>
  <si>
    <t>Coefficients</t>
  </si>
  <si>
    <t>Model 5</t>
  </si>
  <si>
    <t>MEAN</t>
  </si>
  <si>
    <t>MEDIAN</t>
  </si>
  <si>
    <t>STD.DEV</t>
  </si>
  <si>
    <t>PERCENTILE_10</t>
  </si>
  <si>
    <t>PERCENTILE_25</t>
  </si>
  <si>
    <t>PERCENTILE_75</t>
  </si>
  <si>
    <t>PERCENTILE_90</t>
  </si>
  <si>
    <t>SSE</t>
  </si>
  <si>
    <t>F_value</t>
  </si>
  <si>
    <t>PRICE_RATIO</t>
  </si>
  <si>
    <t>EFF_INC_RATIO</t>
  </si>
  <si>
    <t>Percentile</t>
  </si>
  <si>
    <t>title</t>
  </si>
  <si>
    <t>p.value</t>
  </si>
  <si>
    <t>CH</t>
  </si>
  <si>
    <t>NBHD</t>
  </si>
  <si>
    <t>STORY</t>
  </si>
  <si>
    <t>CONDITN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</si>
</sst>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71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Lucida Console"/>
      <family val="3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4">
    <xf numFmtId="0" fontId="0" fillId="0" borderId="0" xfId="0"/>
    <xf numFmtId="0" fontId="0" fillId="0" borderId="1" xfId="0" applyBorder="1"/>
    <xf numFmtId="0" fontId="1" fillId="0" borderId="1" xfId="0" applyFont="1" applyBorder="1"/>
    <xf numFmtId="2" fontId="0" fillId="0" borderId="1" xfId="0" applyNumberFormat="1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164" fontId="2" fillId="0" borderId="1" xfId="0" applyNumberFormat="1" applyFont="1" applyBorder="1" applyAlignment="1">
      <alignment vertical="center"/>
    </xf>
    <xf numFmtId="164" fontId="1" fillId="0" borderId="1" xfId="0" applyNumberFormat="1" applyFont="1" applyBorder="1"/>
    <xf numFmtId="11" fontId="0" fillId="0" borderId="0" xfId="0" applyNumberFormat="1"/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71" fontId="0" fillId="0" borderId="1" xfId="0" applyNumberFormat="1" applyBorder="1" applyAlignment="1">
      <alignment horizontal="center"/>
    </xf>
    <xf numFmtId="9" fontId="0" fillId="0" borderId="1" xfId="0" applyNumberFormat="1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0" fontId="0" fillId="0" borderId="1" xfId="1" applyNumberFormat="1" applyFont="1" applyBorder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6:H7"/>
  <sheetViews>
    <sheetView workbookViewId="0">
      <selection activeCell="F14" sqref="F14"/>
    </sheetView>
  </sheetViews>
  <sheetFormatPr defaultRowHeight="15" x14ac:dyDescent="0.25"/>
  <cols>
    <col min="6" max="6" width="13.42578125" bestFit="1" customWidth="1"/>
    <col min="7" max="7" width="13.85546875" bestFit="1" customWidth="1"/>
    <col min="8" max="8" width="10" bestFit="1" customWidth="1"/>
  </cols>
  <sheetData>
    <row r="6" spans="5:8" x14ac:dyDescent="0.25">
      <c r="E6" s="5"/>
      <c r="F6" s="6" t="s">
        <v>0</v>
      </c>
      <c r="G6" s="6" t="s">
        <v>1</v>
      </c>
      <c r="H6" s="6" t="s">
        <v>2</v>
      </c>
    </row>
    <row r="7" spans="5:8" x14ac:dyDescent="0.25">
      <c r="E7" s="6" t="s">
        <v>3</v>
      </c>
      <c r="F7" s="7">
        <v>0.2124511</v>
      </c>
      <c r="G7" s="7">
        <v>0.26523849999999999</v>
      </c>
      <c r="H7" s="7">
        <v>0.19970589999999999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1914A-2F5C-4E29-9CB6-C0DE5973AD34}">
  <dimension ref="A1:K45"/>
  <sheetViews>
    <sheetView topLeftCell="A10" workbookViewId="0">
      <selection activeCell="I22" sqref="I22"/>
    </sheetView>
  </sheetViews>
  <sheetFormatPr defaultRowHeight="15" x14ac:dyDescent="0.25"/>
  <cols>
    <col min="1" max="1" width="10" bestFit="1" customWidth="1"/>
    <col min="2" max="2" width="13.42578125" bestFit="1" customWidth="1"/>
    <col min="3" max="3" width="8.140625" bestFit="1" customWidth="1"/>
    <col min="4" max="4" width="10" bestFit="1" customWidth="1"/>
    <col min="5" max="6" width="13.42578125" bestFit="1" customWidth="1"/>
    <col min="7" max="8" width="10" bestFit="1" customWidth="1"/>
    <col min="9" max="9" width="11" bestFit="1" customWidth="1"/>
    <col min="10" max="11" width="8.140625" bestFit="1" customWidth="1"/>
    <col min="12" max="12" width="12.7109375" bestFit="1" customWidth="1"/>
    <col min="13" max="13" width="11.7109375" bestFit="1" customWidth="1"/>
    <col min="14" max="15" width="13.42578125" bestFit="1" customWidth="1"/>
    <col min="16" max="18" width="11.7109375" bestFit="1" customWidth="1"/>
  </cols>
  <sheetData>
    <row r="1" spans="1:11" x14ac:dyDescent="0.25">
      <c r="A1" s="10"/>
      <c r="B1" s="11" t="s">
        <v>10</v>
      </c>
      <c r="C1" s="11" t="s">
        <v>11</v>
      </c>
      <c r="D1" s="11" t="s">
        <v>8</v>
      </c>
      <c r="E1" s="11" t="s">
        <v>9</v>
      </c>
      <c r="F1" s="2" t="s">
        <v>12</v>
      </c>
    </row>
    <row r="2" spans="1:11" x14ac:dyDescent="0.25">
      <c r="A2" s="11" t="s">
        <v>4</v>
      </c>
      <c r="B2" s="7">
        <v>-0.52466729999999995</v>
      </c>
      <c r="C2" s="7">
        <v>-3.9748390000000001E-2</v>
      </c>
      <c r="D2" s="7">
        <v>8.4652720000000001E-2</v>
      </c>
      <c r="E2" s="7">
        <v>-9.1032630000000003E-2</v>
      </c>
      <c r="F2" s="7">
        <v>-0.23022524999999999</v>
      </c>
    </row>
    <row r="3" spans="1:11" x14ac:dyDescent="0.25">
      <c r="A3" s="11" t="s">
        <v>5</v>
      </c>
      <c r="B3" s="7">
        <v>-0.59980080000000002</v>
      </c>
      <c r="C3" s="7">
        <v>-0.16916632000000001</v>
      </c>
      <c r="D3" s="7">
        <v>0.15337875000000001</v>
      </c>
      <c r="E3" s="7">
        <v>-0.61866712000000001</v>
      </c>
      <c r="F3" s="7">
        <v>-0.17387403000000001</v>
      </c>
    </row>
    <row r="4" spans="1:11" x14ac:dyDescent="0.25">
      <c r="A4" s="11" t="s">
        <v>6</v>
      </c>
      <c r="B4" s="7">
        <v>0.74391099999999999</v>
      </c>
      <c r="C4" s="7">
        <v>0.10864367</v>
      </c>
      <c r="D4" s="7">
        <v>-0.10119185</v>
      </c>
      <c r="E4" s="7">
        <v>0.37652805</v>
      </c>
      <c r="F4" s="7">
        <v>5.0713300000000003E-2</v>
      </c>
    </row>
    <row r="5" spans="1:11" x14ac:dyDescent="0.25">
      <c r="A5" s="11" t="s">
        <v>7</v>
      </c>
      <c r="B5" s="7">
        <v>-0.69151890000000005</v>
      </c>
      <c r="C5" s="7">
        <v>-3.1410609999999999E-2</v>
      </c>
      <c r="D5" s="7">
        <v>9.8023769999999996E-2</v>
      </c>
      <c r="E5" s="7">
        <v>-0.27980737999999999</v>
      </c>
      <c r="F5" s="7">
        <v>-0.14119751999999999</v>
      </c>
    </row>
    <row r="9" spans="1:11" x14ac:dyDescent="0.25">
      <c r="B9" s="1"/>
      <c r="C9" s="1" t="s">
        <v>13</v>
      </c>
      <c r="D9" s="1" t="s">
        <v>10</v>
      </c>
      <c r="E9" s="1" t="s">
        <v>11</v>
      </c>
      <c r="F9" s="1" t="s">
        <v>14</v>
      </c>
      <c r="G9" s="1" t="s">
        <v>15</v>
      </c>
      <c r="H9" s="1" t="s">
        <v>8</v>
      </c>
      <c r="I9" s="1" t="s">
        <v>9</v>
      </c>
      <c r="J9" s="1" t="s">
        <v>12</v>
      </c>
      <c r="K9" s="1" t="s">
        <v>16</v>
      </c>
    </row>
    <row r="10" spans="1:11" x14ac:dyDescent="0.25">
      <c r="B10" s="1" t="s">
        <v>13</v>
      </c>
      <c r="C10" s="7">
        <v>1</v>
      </c>
      <c r="D10" s="7">
        <v>0.290186</v>
      </c>
      <c r="E10" s="7">
        <v>-0.25048188999999998</v>
      </c>
      <c r="F10" s="7">
        <v>0.13538030000000001</v>
      </c>
      <c r="G10" s="7">
        <v>0.22647732000000001</v>
      </c>
      <c r="H10" s="7">
        <v>-0.16892306000000001</v>
      </c>
      <c r="I10" s="7">
        <v>0.26483969000000002</v>
      </c>
      <c r="J10" s="7">
        <v>0.33886878999999998</v>
      </c>
      <c r="K10" s="7">
        <v>-0.23824849000000001</v>
      </c>
    </row>
    <row r="11" spans="1:11" x14ac:dyDescent="0.25">
      <c r="B11" s="1" t="s">
        <v>10</v>
      </c>
      <c r="C11" s="7"/>
      <c r="D11" s="7">
        <v>1</v>
      </c>
      <c r="E11" s="7">
        <v>0.49972011</v>
      </c>
      <c r="F11" s="7">
        <v>-0.54534042000000005</v>
      </c>
      <c r="G11" s="7">
        <v>-0.48538329000000002</v>
      </c>
      <c r="H11" s="7">
        <v>0.25405974999999997</v>
      </c>
      <c r="I11" s="7">
        <v>0.45055310999999998</v>
      </c>
      <c r="J11" s="7">
        <v>-0.13553678999999999</v>
      </c>
      <c r="K11" s="7">
        <v>-0.38307024000000001</v>
      </c>
    </row>
    <row r="12" spans="1:11" x14ac:dyDescent="0.25">
      <c r="B12" s="1" t="s">
        <v>11</v>
      </c>
      <c r="C12" s="7"/>
      <c r="D12" s="7"/>
      <c r="E12" s="7">
        <v>1</v>
      </c>
      <c r="F12" s="7">
        <v>-0.55286329999999995</v>
      </c>
      <c r="G12" s="7">
        <v>-0.47595492</v>
      </c>
      <c r="H12" s="7">
        <v>0.52226801</v>
      </c>
      <c r="I12" s="7">
        <v>0.30770372000000001</v>
      </c>
      <c r="J12" s="7">
        <v>-0.43319200000000002</v>
      </c>
      <c r="K12" s="7">
        <v>-8.2740640000000004E-2</v>
      </c>
    </row>
    <row r="13" spans="1:11" x14ac:dyDescent="0.25">
      <c r="B13" s="1" t="s">
        <v>14</v>
      </c>
      <c r="C13" s="7"/>
      <c r="D13" s="7"/>
      <c r="E13" s="7"/>
      <c r="F13" s="7">
        <v>1</v>
      </c>
      <c r="G13" s="7">
        <v>0.62895928000000001</v>
      </c>
      <c r="H13" s="7">
        <v>-0.50099795000000003</v>
      </c>
      <c r="I13" s="7">
        <v>-0.11775399</v>
      </c>
      <c r="J13" s="7">
        <v>0.13043415999999999</v>
      </c>
      <c r="K13" s="7">
        <v>0.23543548</v>
      </c>
    </row>
    <row r="14" spans="1:11" x14ac:dyDescent="0.25">
      <c r="B14" s="1" t="s">
        <v>15</v>
      </c>
      <c r="C14" s="7"/>
      <c r="D14" s="7"/>
      <c r="E14" s="7"/>
      <c r="F14" s="7"/>
      <c r="G14" s="7">
        <v>1</v>
      </c>
      <c r="H14" s="7">
        <v>-0.37916476999999998</v>
      </c>
      <c r="I14" s="7">
        <v>-0.15462222</v>
      </c>
      <c r="J14" s="7">
        <v>0.18451878999999999</v>
      </c>
      <c r="K14" s="7">
        <v>0.10090092000000001</v>
      </c>
    </row>
    <row r="15" spans="1:11" x14ac:dyDescent="0.25">
      <c r="B15" s="1" t="s">
        <v>8</v>
      </c>
      <c r="C15" s="7"/>
      <c r="D15" s="7"/>
      <c r="E15" s="7"/>
      <c r="F15" s="7"/>
      <c r="G15" s="7"/>
      <c r="H15" s="7">
        <v>1</v>
      </c>
      <c r="I15" s="7">
        <v>-0.11982161</v>
      </c>
      <c r="J15" s="7">
        <v>-0.21646625999999999</v>
      </c>
      <c r="K15" s="7">
        <v>-0.1395188</v>
      </c>
    </row>
    <row r="16" spans="1:11" x14ac:dyDescent="0.25">
      <c r="B16" s="1" t="s">
        <v>9</v>
      </c>
      <c r="C16" s="7"/>
      <c r="D16" s="7"/>
      <c r="E16" s="7"/>
      <c r="F16" s="7"/>
      <c r="G16" s="7"/>
      <c r="H16" s="7"/>
      <c r="I16" s="7">
        <v>1</v>
      </c>
      <c r="J16" s="7">
        <v>-9.0223670000000006E-2</v>
      </c>
      <c r="K16" s="7">
        <v>-0.11665519000000001</v>
      </c>
    </row>
    <row r="17" spans="2:11" x14ac:dyDescent="0.25">
      <c r="B17" s="1" t="s">
        <v>12</v>
      </c>
      <c r="C17" s="7"/>
      <c r="D17" s="7"/>
      <c r="E17" s="7"/>
      <c r="F17" s="7"/>
      <c r="G17" s="7"/>
      <c r="H17" s="7"/>
      <c r="I17" s="7"/>
      <c r="J17" s="7">
        <v>1</v>
      </c>
      <c r="K17" s="7">
        <v>-0.12715164000000001</v>
      </c>
    </row>
    <row r="18" spans="2:11" x14ac:dyDescent="0.25">
      <c r="B18" s="1" t="s">
        <v>16</v>
      </c>
      <c r="C18" s="7"/>
      <c r="D18" s="7"/>
      <c r="E18" s="7"/>
      <c r="F18" s="7"/>
      <c r="G18" s="7"/>
      <c r="H18" s="7"/>
      <c r="I18" s="7"/>
      <c r="J18" s="7"/>
      <c r="K18" s="7">
        <v>1</v>
      </c>
    </row>
    <row r="19" spans="2:11" x14ac:dyDescent="0.25">
      <c r="B19" s="1" t="s">
        <v>17</v>
      </c>
      <c r="C19" s="7"/>
      <c r="D19" s="7"/>
      <c r="E19" s="7"/>
      <c r="F19" s="7"/>
      <c r="G19" s="7"/>
      <c r="H19" s="7"/>
      <c r="I19" s="7"/>
      <c r="J19" s="7"/>
      <c r="K19" s="7"/>
    </row>
    <row r="20" spans="2:11" x14ac:dyDescent="0.25">
      <c r="B20" s="1" t="s">
        <v>18</v>
      </c>
      <c r="C20" s="7"/>
      <c r="D20" s="7"/>
      <c r="E20" s="7"/>
      <c r="F20" s="7"/>
      <c r="G20" s="7"/>
      <c r="H20" s="7"/>
      <c r="I20" s="7"/>
      <c r="J20" s="7"/>
      <c r="K20" s="7"/>
    </row>
    <row r="21" spans="2:11" x14ac:dyDescent="0.25">
      <c r="B21" s="1" t="s">
        <v>19</v>
      </c>
      <c r="C21" s="7"/>
      <c r="D21" s="7"/>
      <c r="E21" s="7"/>
      <c r="F21" s="7"/>
      <c r="G21" s="7"/>
      <c r="H21" s="7"/>
      <c r="I21" s="7"/>
      <c r="J21" s="7"/>
      <c r="K21" s="7"/>
    </row>
    <row r="22" spans="2:11" x14ac:dyDescent="0.25">
      <c r="B22" s="1" t="s">
        <v>20</v>
      </c>
      <c r="C22" s="7"/>
      <c r="D22" s="7"/>
      <c r="E22" s="7"/>
      <c r="F22" s="7"/>
      <c r="G22" s="7"/>
      <c r="H22" s="7"/>
      <c r="I22" s="7"/>
      <c r="J22" s="7"/>
      <c r="K22" s="7"/>
    </row>
    <row r="23" spans="2:11" x14ac:dyDescent="0.25">
      <c r="B23" s="1" t="s">
        <v>21</v>
      </c>
      <c r="C23" s="7"/>
      <c r="D23" s="7"/>
      <c r="E23" s="7"/>
      <c r="F23" s="7"/>
      <c r="G23" s="7"/>
      <c r="H23" s="7"/>
      <c r="I23" s="7"/>
      <c r="J23" s="7"/>
      <c r="K23" s="7"/>
    </row>
    <row r="24" spans="2:11" x14ac:dyDescent="0.25">
      <c r="B24" s="1" t="s">
        <v>22</v>
      </c>
      <c r="C24" s="7"/>
      <c r="D24" s="7"/>
      <c r="E24" s="7"/>
      <c r="F24" s="7"/>
      <c r="G24" s="7"/>
      <c r="H24" s="7"/>
      <c r="I24" s="7"/>
      <c r="J24" s="7"/>
      <c r="K24" s="7"/>
    </row>
    <row r="25" spans="2:11" x14ac:dyDescent="0.25">
      <c r="B25" s="1" t="s">
        <v>23</v>
      </c>
      <c r="C25" s="7"/>
      <c r="D25" s="7"/>
      <c r="E25" s="7"/>
      <c r="F25" s="7"/>
      <c r="G25" s="7"/>
      <c r="H25" s="7"/>
      <c r="I25" s="7"/>
      <c r="J25" s="7"/>
      <c r="K25" s="7"/>
    </row>
    <row r="26" spans="2:11" x14ac:dyDescent="0.25">
      <c r="B26" s="1" t="s">
        <v>7</v>
      </c>
      <c r="C26" s="7"/>
      <c r="D26" s="7"/>
      <c r="E26" s="7"/>
      <c r="F26" s="7"/>
      <c r="G26" s="7"/>
      <c r="H26" s="7"/>
      <c r="I26" s="7"/>
      <c r="J26" s="7"/>
      <c r="K26" s="7"/>
    </row>
    <row r="28" spans="2:11" x14ac:dyDescent="0.25">
      <c r="C28" s="1" t="s">
        <v>17</v>
      </c>
      <c r="D28" s="1" t="s">
        <v>18</v>
      </c>
      <c r="E28" s="1" t="s">
        <v>19</v>
      </c>
      <c r="F28" s="1" t="s">
        <v>20</v>
      </c>
      <c r="G28" s="1" t="s">
        <v>21</v>
      </c>
      <c r="H28" s="1" t="s">
        <v>22</v>
      </c>
      <c r="I28" s="1" t="s">
        <v>23</v>
      </c>
      <c r="J28" s="1" t="s">
        <v>7</v>
      </c>
    </row>
    <row r="29" spans="2:11" x14ac:dyDescent="0.25">
      <c r="B29" s="1" t="s">
        <v>13</v>
      </c>
      <c r="C29" s="7">
        <v>5.9547120000000002E-2</v>
      </c>
      <c r="D29" s="7">
        <v>-0.22383697999999999</v>
      </c>
      <c r="E29" s="7">
        <v>0.42544402999999997</v>
      </c>
      <c r="F29" s="7">
        <v>-0.20019802</v>
      </c>
      <c r="G29" s="7">
        <v>-0.40172067</v>
      </c>
      <c r="H29" s="7">
        <v>-0.19605070999999999</v>
      </c>
      <c r="I29" s="7">
        <v>-0.70346003000000001</v>
      </c>
      <c r="J29" s="7">
        <v>-0.60246491000000002</v>
      </c>
    </row>
    <row r="30" spans="2:11" x14ac:dyDescent="0.25">
      <c r="B30" s="1" t="s">
        <v>10</v>
      </c>
      <c r="C30" s="7">
        <v>-0.44312753999999999</v>
      </c>
      <c r="D30" s="7">
        <v>0.37451590000000001</v>
      </c>
      <c r="E30" s="7">
        <v>0.53583879000000001</v>
      </c>
      <c r="F30" s="7">
        <v>-0.50834416000000004</v>
      </c>
      <c r="G30" s="7">
        <v>-0.12273386999999999</v>
      </c>
      <c r="H30" s="7">
        <v>-0.13115324</v>
      </c>
      <c r="I30" s="7">
        <v>-0.32548452</v>
      </c>
      <c r="J30" s="7">
        <v>-0.69151889</v>
      </c>
    </row>
    <row r="31" spans="2:11" x14ac:dyDescent="0.25">
      <c r="B31" s="1" t="s">
        <v>11</v>
      </c>
      <c r="C31" s="7">
        <v>-0.40973956</v>
      </c>
      <c r="D31" s="7">
        <v>0.39480941000000003</v>
      </c>
      <c r="E31" s="7">
        <v>0.36663741999999999</v>
      </c>
      <c r="F31" s="7">
        <v>-0.33414596000000002</v>
      </c>
      <c r="G31" s="7">
        <v>0.28020007000000002</v>
      </c>
      <c r="H31" s="7">
        <v>0.16350489000000001</v>
      </c>
      <c r="I31" s="7">
        <v>0.13539377999999999</v>
      </c>
      <c r="J31" s="7">
        <v>-3.1410609999999999E-2</v>
      </c>
    </row>
    <row r="32" spans="2:11" x14ac:dyDescent="0.25">
      <c r="B32" s="1" t="s">
        <v>14</v>
      </c>
      <c r="C32" s="7">
        <v>0.53746897000000005</v>
      </c>
      <c r="D32" s="7">
        <v>-0.48242779000000002</v>
      </c>
      <c r="E32" s="7">
        <v>-0.24660768</v>
      </c>
      <c r="F32" s="7">
        <v>0.33091125999999998</v>
      </c>
      <c r="G32" s="7">
        <v>-0.32338566000000002</v>
      </c>
      <c r="H32" s="7">
        <v>3.5955870000000001E-2</v>
      </c>
      <c r="I32" s="7">
        <v>-6.7267279999999999E-2</v>
      </c>
      <c r="J32" s="7">
        <v>0.24588070000000001</v>
      </c>
    </row>
    <row r="33" spans="2:10" x14ac:dyDescent="0.25">
      <c r="B33" s="1" t="s">
        <v>15</v>
      </c>
      <c r="C33" s="7">
        <v>0.37521419</v>
      </c>
      <c r="D33" s="7">
        <v>-0.31278285</v>
      </c>
      <c r="E33" s="7">
        <v>-3.2570830000000002E-2</v>
      </c>
      <c r="F33" s="7">
        <v>0.21057988999999999</v>
      </c>
      <c r="G33" s="7">
        <v>-0.31278285</v>
      </c>
      <c r="H33" s="7">
        <v>-3.5955870000000001E-2</v>
      </c>
      <c r="I33" s="7">
        <v>-0.33633639999999998</v>
      </c>
      <c r="J33" s="7">
        <v>0.10241561</v>
      </c>
    </row>
    <row r="34" spans="2:10" x14ac:dyDescent="0.25">
      <c r="B34" s="1" t="s">
        <v>8</v>
      </c>
      <c r="C34" s="7">
        <v>-0.26493673000000001</v>
      </c>
      <c r="D34" s="7">
        <v>0.46155611000000002</v>
      </c>
      <c r="E34" s="7">
        <v>0.14904887999999999</v>
      </c>
      <c r="F34" s="7">
        <v>-0.12665228000000001</v>
      </c>
      <c r="G34" s="7">
        <v>0.38296611000000003</v>
      </c>
      <c r="H34" s="7">
        <v>-7.8711929999999999E-2</v>
      </c>
      <c r="I34" s="7">
        <v>0.23445073999999999</v>
      </c>
      <c r="J34" s="7">
        <v>9.8023769999999996E-2</v>
      </c>
    </row>
    <row r="35" spans="2:10" x14ac:dyDescent="0.25">
      <c r="B35" s="1" t="s">
        <v>9</v>
      </c>
      <c r="C35" s="7">
        <v>-0.17161625999999999</v>
      </c>
      <c r="D35" s="7">
        <v>0.13812522999999999</v>
      </c>
      <c r="E35" s="7">
        <v>0.52412603000000002</v>
      </c>
      <c r="F35" s="7">
        <v>-5.3827849999999997E-2</v>
      </c>
      <c r="G35" s="7">
        <v>-0.26644505000000002</v>
      </c>
      <c r="H35" s="7">
        <v>6.6703440000000003E-2</v>
      </c>
      <c r="I35" s="7">
        <v>-0.27563683</v>
      </c>
      <c r="J35" s="7">
        <v>-0.27980737999999999</v>
      </c>
    </row>
    <row r="36" spans="2:10" x14ac:dyDescent="0.25">
      <c r="B36" s="1" t="s">
        <v>12</v>
      </c>
      <c r="C36" s="7">
        <v>0.15585804</v>
      </c>
      <c r="D36" s="7">
        <v>1.8642679999999998E-2</v>
      </c>
      <c r="E36" s="7">
        <v>6.2509880000000004E-2</v>
      </c>
      <c r="F36" s="7">
        <v>0.28984778</v>
      </c>
      <c r="G36" s="7">
        <v>-0.26576086999999998</v>
      </c>
      <c r="H36" s="7">
        <v>-7.7759700000000001E-2</v>
      </c>
      <c r="I36" s="7">
        <v>-7.512974E-2</v>
      </c>
      <c r="J36" s="7">
        <v>-0.14119751999999999</v>
      </c>
    </row>
    <row r="37" spans="2:10" x14ac:dyDescent="0.25">
      <c r="B37" s="1" t="s">
        <v>16</v>
      </c>
      <c r="C37" s="7">
        <v>-0.30151134000000002</v>
      </c>
      <c r="D37" s="7">
        <v>-0.27583864000000002</v>
      </c>
      <c r="E37" s="7">
        <v>-0.20751433999999999</v>
      </c>
      <c r="F37" s="7">
        <v>0.22360679999999999</v>
      </c>
      <c r="G37" s="7">
        <v>0.11821656</v>
      </c>
      <c r="H37" s="7">
        <v>0.20044592999999999</v>
      </c>
      <c r="I37" s="7">
        <v>0.33333332999999998</v>
      </c>
      <c r="J37" s="7">
        <v>0.62403014000000001</v>
      </c>
    </row>
    <row r="38" spans="2:10" x14ac:dyDescent="0.25">
      <c r="B38" s="1" t="s">
        <v>17</v>
      </c>
      <c r="C38" s="7">
        <v>1</v>
      </c>
      <c r="D38" s="7">
        <v>-0.33267392000000001</v>
      </c>
      <c r="E38" s="7">
        <v>-0.14599182999999999</v>
      </c>
      <c r="F38" s="7">
        <v>0.33709992999999999</v>
      </c>
      <c r="G38" s="7">
        <v>2.3762419999999999E-2</v>
      </c>
      <c r="H38" s="7">
        <v>-0.16116459</v>
      </c>
      <c r="I38" s="7">
        <v>0</v>
      </c>
      <c r="J38" s="7">
        <v>2.7973089999999999E-2</v>
      </c>
    </row>
    <row r="39" spans="2:10" x14ac:dyDescent="0.25">
      <c r="B39" s="1" t="s">
        <v>18</v>
      </c>
      <c r="C39" s="7"/>
      <c r="D39" s="7">
        <v>1</v>
      </c>
      <c r="E39" s="7">
        <v>0.23441337000000001</v>
      </c>
      <c r="F39" s="7">
        <v>-0.24671757999999999</v>
      </c>
      <c r="G39" s="7">
        <v>6.8322980000000005E-2</v>
      </c>
      <c r="H39" s="7">
        <v>-0.14744196000000001</v>
      </c>
      <c r="I39" s="7">
        <v>-7.8811039999999999E-2</v>
      </c>
      <c r="J39" s="7">
        <v>-0.27746521000000002</v>
      </c>
    </row>
    <row r="40" spans="2:10" x14ac:dyDescent="0.25">
      <c r="B40" s="1" t="s">
        <v>19</v>
      </c>
      <c r="C40" s="7"/>
      <c r="D40" s="7"/>
      <c r="E40" s="7">
        <v>1</v>
      </c>
      <c r="F40" s="7">
        <v>-0.34027851999999997</v>
      </c>
      <c r="G40" s="7">
        <v>-0.25621926</v>
      </c>
      <c r="H40" s="7">
        <v>-0.20335531000000001</v>
      </c>
      <c r="I40" s="7">
        <v>-0.48420012000000001</v>
      </c>
      <c r="J40" s="7">
        <v>-0.55093696999999997</v>
      </c>
    </row>
    <row r="41" spans="2:10" x14ac:dyDescent="0.25">
      <c r="B41" s="1" t="s">
        <v>20</v>
      </c>
      <c r="C41" s="7"/>
      <c r="D41" s="7"/>
      <c r="E41" s="7"/>
      <c r="F41" s="7">
        <v>1</v>
      </c>
      <c r="G41" s="7">
        <v>0.17622684</v>
      </c>
      <c r="H41" s="7">
        <v>0.23904571999999999</v>
      </c>
      <c r="I41" s="7">
        <v>0.26832815999999998</v>
      </c>
      <c r="J41" s="7">
        <v>0.47961665999999997</v>
      </c>
    </row>
    <row r="42" spans="2:10" x14ac:dyDescent="0.25">
      <c r="B42" s="1" t="s">
        <v>21</v>
      </c>
      <c r="C42" s="7"/>
      <c r="D42" s="7"/>
      <c r="E42" s="7"/>
      <c r="F42" s="7"/>
      <c r="G42" s="7">
        <v>1</v>
      </c>
      <c r="H42" s="7">
        <v>-0.14744196000000001</v>
      </c>
      <c r="I42" s="7">
        <v>0.39405519999999999</v>
      </c>
      <c r="J42" s="7">
        <v>0.42049571000000002</v>
      </c>
    </row>
    <row r="43" spans="2:10" x14ac:dyDescent="0.25">
      <c r="B43" s="1" t="s">
        <v>22</v>
      </c>
      <c r="C43" s="7"/>
      <c r="D43" s="7"/>
      <c r="E43" s="7"/>
      <c r="F43" s="7"/>
      <c r="G43" s="7"/>
      <c r="H43" s="7">
        <v>1</v>
      </c>
      <c r="I43" s="7">
        <v>0.26726124000000001</v>
      </c>
      <c r="J43" s="7">
        <v>0.32956085000000002</v>
      </c>
    </row>
    <row r="44" spans="2:10" x14ac:dyDescent="0.25">
      <c r="B44" s="1" t="s">
        <v>23</v>
      </c>
      <c r="C44" s="7"/>
      <c r="D44" s="7"/>
      <c r="E44" s="7"/>
      <c r="F44" s="7"/>
      <c r="G44" s="7"/>
      <c r="H44" s="7"/>
      <c r="I44" s="7">
        <v>1</v>
      </c>
      <c r="J44" s="7">
        <v>0.72312949000000004</v>
      </c>
    </row>
    <row r="45" spans="2:10" x14ac:dyDescent="0.25">
      <c r="B45" s="1" t="s">
        <v>7</v>
      </c>
      <c r="C45" s="7"/>
      <c r="D45" s="7"/>
      <c r="E45" s="7"/>
      <c r="F45" s="7"/>
      <c r="G45" s="7"/>
      <c r="H45" s="7"/>
      <c r="I45" s="7"/>
      <c r="J45" s="7">
        <v>1</v>
      </c>
    </row>
  </sheetData>
  <conditionalFormatting sqref="C10:K26 C29:I45">
    <cfRule type="cellIs" dxfId="1" priority="1" operator="lessThan">
      <formula>-0.5</formula>
    </cfRule>
    <cfRule type="cellIs" dxfId="0" priority="2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8412A-C461-4432-9689-E89F724CD47A}">
  <dimension ref="A1:G5"/>
  <sheetViews>
    <sheetView workbookViewId="0">
      <selection activeCell="I29" sqref="I29"/>
    </sheetView>
  </sheetViews>
  <sheetFormatPr defaultRowHeight="15" x14ac:dyDescent="0.25"/>
  <cols>
    <col min="1" max="1" width="10.140625" bestFit="1" customWidth="1"/>
    <col min="2" max="2" width="10" bestFit="1" customWidth="1"/>
    <col min="3" max="3" width="12.5703125" bestFit="1" customWidth="1"/>
    <col min="4" max="5" width="10" bestFit="1" customWidth="1"/>
    <col min="6" max="6" width="8.28515625" bestFit="1" customWidth="1"/>
    <col min="7" max="7" width="9" bestFit="1" customWidth="1"/>
  </cols>
  <sheetData>
    <row r="1" spans="1:7" x14ac:dyDescent="0.25">
      <c r="A1" s="13"/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</row>
    <row r="2" spans="1:7" x14ac:dyDescent="0.25">
      <c r="A2" s="13" t="s">
        <v>33</v>
      </c>
      <c r="B2" s="7">
        <v>0.91457160000000004</v>
      </c>
      <c r="C2" s="7">
        <v>0.8451611</v>
      </c>
      <c r="D2" s="7">
        <v>0.6315383</v>
      </c>
      <c r="E2" s="7">
        <v>13.176263000000001</v>
      </c>
      <c r="F2" s="7">
        <v>3.6590239999999998E-6</v>
      </c>
      <c r="G2" s="7">
        <v>3.69781</v>
      </c>
    </row>
    <row r="3" spans="1:7" x14ac:dyDescent="0.25">
      <c r="A3" s="13" t="s">
        <v>30</v>
      </c>
      <c r="B3" s="7">
        <v>0.89248159999999999</v>
      </c>
      <c r="C3" s="7">
        <v>0.79213100000000003</v>
      </c>
      <c r="D3" s="7">
        <v>0.70850040000000003</v>
      </c>
      <c r="E3" s="7">
        <v>8.8936410000000006</v>
      </c>
      <c r="F3" s="7">
        <v>6.8605329999999994E-5</v>
      </c>
      <c r="G3" s="7">
        <v>4.0559849999999997</v>
      </c>
    </row>
    <row r="4" spans="1:7" x14ac:dyDescent="0.25">
      <c r="A4" s="13" t="s">
        <v>31</v>
      </c>
      <c r="B4" s="7">
        <v>0.93999279999999996</v>
      </c>
      <c r="C4" s="7">
        <v>0.89123699999999995</v>
      </c>
      <c r="D4" s="7">
        <v>0.52929800000000005</v>
      </c>
      <c r="E4" s="7">
        <v>19.279601</v>
      </c>
      <c r="F4" s="7">
        <v>2.475346E-7</v>
      </c>
      <c r="G4" s="7">
        <v>3.6968220000000001</v>
      </c>
    </row>
    <row r="5" spans="1:7" x14ac:dyDescent="0.25">
      <c r="A5" s="14" t="s">
        <v>32</v>
      </c>
      <c r="B5" s="7">
        <v>0.87208269999999999</v>
      </c>
      <c r="C5" s="7">
        <v>0.75269330000000001</v>
      </c>
      <c r="D5" s="7">
        <v>0.77279310000000001</v>
      </c>
      <c r="E5" s="7">
        <v>7.3045220000000004</v>
      </c>
      <c r="F5" s="7">
        <v>2.2405719999999999E-4</v>
      </c>
      <c r="G5" s="7">
        <v>5.2582259999999996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5C465-2119-4039-833E-8E5B8AAD310F}">
  <dimension ref="C4:R36"/>
  <sheetViews>
    <sheetView workbookViewId="0">
      <selection activeCell="C16" sqref="C16:I36"/>
    </sheetView>
  </sheetViews>
  <sheetFormatPr defaultRowHeight="15" x14ac:dyDescent="0.25"/>
  <cols>
    <col min="2" max="2" width="8.42578125" bestFit="1" customWidth="1"/>
    <col min="3" max="3" width="11" bestFit="1" customWidth="1"/>
    <col min="4" max="4" width="10.85546875" bestFit="1" customWidth="1"/>
    <col min="5" max="5" width="20" bestFit="1" customWidth="1"/>
    <col min="6" max="6" width="9.7109375" bestFit="1" customWidth="1"/>
    <col min="7" max="7" width="11.5703125" bestFit="1" customWidth="1"/>
    <col min="8" max="8" width="9.7109375" bestFit="1" customWidth="1"/>
    <col min="9" max="9" width="5.5703125" bestFit="1" customWidth="1"/>
    <col min="12" max="12" width="11.28515625" bestFit="1" customWidth="1"/>
    <col min="13" max="13" width="14.7109375" bestFit="1" customWidth="1"/>
    <col min="14" max="14" width="7.42578125" bestFit="1" customWidth="1"/>
    <col min="15" max="15" width="12.7109375" bestFit="1" customWidth="1"/>
    <col min="16" max="16" width="8" bestFit="1" customWidth="1"/>
    <col min="17" max="17" width="10" bestFit="1" customWidth="1"/>
    <col min="18" max="18" width="4" bestFit="1" customWidth="1"/>
  </cols>
  <sheetData>
    <row r="4" spans="4:18" x14ac:dyDescent="0.25">
      <c r="L4" s="8" t="s">
        <v>44</v>
      </c>
      <c r="M4" t="s">
        <v>45</v>
      </c>
      <c r="N4" t="s">
        <v>46</v>
      </c>
    </row>
    <row r="5" spans="4:18" x14ac:dyDescent="0.25">
      <c r="L5" s="8"/>
      <c r="M5" t="s">
        <v>47</v>
      </c>
      <c r="N5" t="s">
        <v>48</v>
      </c>
      <c r="O5" t="s">
        <v>49</v>
      </c>
      <c r="P5" t="s">
        <v>50</v>
      </c>
      <c r="Q5" t="s">
        <v>51</v>
      </c>
    </row>
    <row r="6" spans="4:18" x14ac:dyDescent="0.25">
      <c r="L6" s="8" t="s">
        <v>14</v>
      </c>
      <c r="M6">
        <v>1</v>
      </c>
      <c r="N6">
        <v>8.468</v>
      </c>
      <c r="O6">
        <v>8.468</v>
      </c>
      <c r="P6">
        <v>16.12</v>
      </c>
      <c r="Q6">
        <v>1E-3</v>
      </c>
      <c r="R6" t="s">
        <v>52</v>
      </c>
    </row>
    <row r="7" spans="4:18" x14ac:dyDescent="0.25">
      <c r="L7" s="8" t="s">
        <v>15</v>
      </c>
      <c r="M7">
        <v>1</v>
      </c>
      <c r="N7">
        <v>0.63200000000000001</v>
      </c>
      <c r="O7">
        <v>0.63200000000000001</v>
      </c>
      <c r="P7">
        <v>1.2036</v>
      </c>
      <c r="Q7">
        <v>0.28884169999999998</v>
      </c>
    </row>
    <row r="8" spans="4:18" x14ac:dyDescent="0.25">
      <c r="L8" s="8" t="s">
        <v>8</v>
      </c>
      <c r="M8">
        <v>1</v>
      </c>
      <c r="N8">
        <v>8.7780000000000005</v>
      </c>
      <c r="O8">
        <v>8.7780000000000005</v>
      </c>
      <c r="P8">
        <v>16.7102</v>
      </c>
      <c r="Q8">
        <v>8.5820000000000004E-4</v>
      </c>
      <c r="R8" t="s">
        <v>53</v>
      </c>
    </row>
    <row r="9" spans="4:18" x14ac:dyDescent="0.25">
      <c r="L9" s="8" t="s">
        <v>9</v>
      </c>
      <c r="M9">
        <v>1</v>
      </c>
      <c r="N9">
        <v>6.242</v>
      </c>
      <c r="O9">
        <v>6.242</v>
      </c>
      <c r="P9">
        <v>11.8826</v>
      </c>
      <c r="Q9">
        <v>3.3137000000000002E-3</v>
      </c>
      <c r="R9" t="s">
        <v>52</v>
      </c>
    </row>
    <row r="10" spans="4:18" x14ac:dyDescent="0.25">
      <c r="L10" s="8" t="s">
        <v>16</v>
      </c>
      <c r="M10">
        <v>1</v>
      </c>
      <c r="N10">
        <v>45.197000000000003</v>
      </c>
      <c r="O10">
        <v>45.197000000000003</v>
      </c>
      <c r="P10">
        <v>86.041499999999999</v>
      </c>
      <c r="Q10" s="12">
        <v>7.7350000000000001E-8</v>
      </c>
      <c r="R10" t="s">
        <v>53</v>
      </c>
    </row>
    <row r="11" spans="4:18" x14ac:dyDescent="0.25">
      <c r="L11" s="8" t="s">
        <v>17</v>
      </c>
      <c r="M11">
        <v>1</v>
      </c>
      <c r="N11">
        <v>4.9059999999999997</v>
      </c>
      <c r="O11">
        <v>4.9059999999999997</v>
      </c>
      <c r="P11">
        <v>9.3402999999999992</v>
      </c>
      <c r="Q11">
        <v>7.5404000000000001E-3</v>
      </c>
      <c r="R11" t="s">
        <v>52</v>
      </c>
    </row>
    <row r="12" spans="4:18" x14ac:dyDescent="0.25">
      <c r="L12" s="8" t="s">
        <v>18</v>
      </c>
      <c r="M12">
        <v>1</v>
      </c>
      <c r="N12">
        <v>1.3280000000000001</v>
      </c>
      <c r="O12">
        <v>1.3280000000000001</v>
      </c>
      <c r="P12">
        <v>2.5272000000000001</v>
      </c>
      <c r="Q12">
        <v>0.13146169999999999</v>
      </c>
    </row>
    <row r="13" spans="4:18" x14ac:dyDescent="0.25">
      <c r="L13" s="8" t="s">
        <v>21</v>
      </c>
      <c r="M13">
        <v>1</v>
      </c>
      <c r="N13">
        <v>10.102</v>
      </c>
      <c r="O13">
        <v>10.102</v>
      </c>
      <c r="P13">
        <v>19.230599999999999</v>
      </c>
      <c r="Q13">
        <v>4.6109999999999999E-4</v>
      </c>
      <c r="R13" t="s">
        <v>53</v>
      </c>
    </row>
    <row r="14" spans="4:18" x14ac:dyDescent="0.25">
      <c r="L14" s="8" t="s">
        <v>22</v>
      </c>
      <c r="M14">
        <v>1</v>
      </c>
      <c r="N14">
        <v>12.337999999999999</v>
      </c>
      <c r="O14">
        <v>12.337999999999999</v>
      </c>
      <c r="P14">
        <v>23.487200000000001</v>
      </c>
      <c r="Q14">
        <v>1.786E-4</v>
      </c>
      <c r="R14" t="s">
        <v>53</v>
      </c>
    </row>
    <row r="15" spans="4:18" x14ac:dyDescent="0.25">
      <c r="L15" s="8" t="s">
        <v>42</v>
      </c>
      <c r="M15">
        <v>1</v>
      </c>
      <c r="N15">
        <v>3.0000000000000001E-3</v>
      </c>
      <c r="O15">
        <v>3.0000000000000001E-3</v>
      </c>
      <c r="P15">
        <v>4.8999999999999998E-3</v>
      </c>
      <c r="Q15">
        <v>0.94523919999999995</v>
      </c>
    </row>
    <row r="16" spans="4:18" x14ac:dyDescent="0.25">
      <c r="D16" s="17" t="s">
        <v>61</v>
      </c>
      <c r="E16" s="17"/>
      <c r="F16" s="17"/>
      <c r="G16" s="17"/>
      <c r="L16" s="8" t="s">
        <v>43</v>
      </c>
      <c r="M16">
        <v>1</v>
      </c>
      <c r="N16">
        <v>11.688000000000001</v>
      </c>
      <c r="O16">
        <v>11.688000000000001</v>
      </c>
      <c r="P16">
        <v>22.250299999999999</v>
      </c>
      <c r="Q16">
        <v>2.3259999999999999E-4</v>
      </c>
      <c r="R16" t="s">
        <v>53</v>
      </c>
    </row>
    <row r="17" spans="3:18" x14ac:dyDescent="0.25">
      <c r="C17" s="1"/>
      <c r="D17" s="6" t="s">
        <v>57</v>
      </c>
      <c r="E17" s="6" t="s">
        <v>58</v>
      </c>
      <c r="F17" s="6" t="s">
        <v>59</v>
      </c>
      <c r="G17" s="6" t="s">
        <v>27</v>
      </c>
      <c r="H17" s="6" t="s">
        <v>60</v>
      </c>
      <c r="L17" s="8" t="s">
        <v>23</v>
      </c>
      <c r="M17">
        <v>1</v>
      </c>
      <c r="N17">
        <v>12.795</v>
      </c>
      <c r="O17">
        <v>12.795</v>
      </c>
      <c r="P17">
        <v>24.358499999999999</v>
      </c>
      <c r="Q17">
        <v>1.4909999999999999E-4</v>
      </c>
      <c r="R17" t="s">
        <v>53</v>
      </c>
    </row>
    <row r="18" spans="3:18" x14ac:dyDescent="0.25">
      <c r="C18" s="2" t="s">
        <v>55</v>
      </c>
      <c r="D18" s="15">
        <f>SUM(N6:N18)</f>
        <v>131.65800000000002</v>
      </c>
      <c r="E18" s="16">
        <f>SUM(M6:M18)</f>
        <v>13</v>
      </c>
      <c r="F18" s="15">
        <f>D18/E18</f>
        <v>10.127538461538462</v>
      </c>
      <c r="G18" s="15">
        <f>AVERAGE(P6:P18)</f>
        <v>19.279592307692308</v>
      </c>
      <c r="H18" s="15">
        <v>0</v>
      </c>
      <c r="L18" s="8" t="s">
        <v>10</v>
      </c>
      <c r="M18">
        <v>1</v>
      </c>
      <c r="N18">
        <v>9.1809999999999992</v>
      </c>
      <c r="O18">
        <v>9.1809999999999992</v>
      </c>
      <c r="P18">
        <v>17.477799999999998</v>
      </c>
      <c r="Q18">
        <v>7.0649999999999999E-4</v>
      </c>
      <c r="R18" t="s">
        <v>53</v>
      </c>
    </row>
    <row r="19" spans="3:18" x14ac:dyDescent="0.25">
      <c r="C19" s="2" t="s">
        <v>54</v>
      </c>
      <c r="D19" s="15">
        <f>N19</f>
        <v>8.4049999999999994</v>
      </c>
      <c r="E19" s="16">
        <f>M19</f>
        <v>16</v>
      </c>
      <c r="F19" s="15">
        <f>D19/E19</f>
        <v>0.52531249999999996</v>
      </c>
      <c r="G19" s="15"/>
      <c r="H19" s="15"/>
      <c r="L19" s="9" t="s">
        <v>54</v>
      </c>
      <c r="M19">
        <v>16</v>
      </c>
      <c r="N19">
        <v>8.4049999999999994</v>
      </c>
      <c r="O19">
        <v>0.52500000000000002</v>
      </c>
    </row>
    <row r="20" spans="3:18" x14ac:dyDescent="0.25">
      <c r="C20" s="2" t="s">
        <v>56</v>
      </c>
      <c r="D20" s="15">
        <f>SUM(D18:D19)</f>
        <v>140.06300000000002</v>
      </c>
      <c r="E20" s="16">
        <f>SUM(E18:E19)</f>
        <v>29</v>
      </c>
      <c r="F20" s="3"/>
      <c r="G20" s="3"/>
      <c r="H20" s="3"/>
    </row>
    <row r="21" spans="3:18" x14ac:dyDescent="0.25">
      <c r="D21" s="18" t="s">
        <v>35</v>
      </c>
      <c r="E21" s="18"/>
      <c r="F21" s="18"/>
      <c r="G21" s="18"/>
    </row>
    <row r="22" spans="3:18" x14ac:dyDescent="0.25">
      <c r="C22" s="2" t="s">
        <v>34</v>
      </c>
      <c r="D22" s="2" t="s">
        <v>35</v>
      </c>
      <c r="E22" s="2" t="s">
        <v>36</v>
      </c>
      <c r="F22" s="2" t="s">
        <v>37</v>
      </c>
      <c r="G22" s="2" t="s">
        <v>38</v>
      </c>
      <c r="H22" s="2" t="s">
        <v>39</v>
      </c>
      <c r="I22" s="2" t="s">
        <v>40</v>
      </c>
    </row>
    <row r="23" spans="3:18" x14ac:dyDescent="0.25">
      <c r="C23" s="2" t="s">
        <v>41</v>
      </c>
      <c r="D23" s="4">
        <v>13.184840017999999</v>
      </c>
      <c r="E23" s="4">
        <v>5.9994933516</v>
      </c>
      <c r="F23" s="4">
        <v>6.2775347000000004</v>
      </c>
      <c r="G23" s="4">
        <v>1.101945E-5</v>
      </c>
      <c r="H23" s="4"/>
      <c r="I23" s="4"/>
    </row>
    <row r="24" spans="3:18" x14ac:dyDescent="0.25">
      <c r="C24" s="2" t="s">
        <v>14</v>
      </c>
      <c r="D24" s="4">
        <v>0.86884751699999996</v>
      </c>
      <c r="E24" s="4">
        <v>0.39535139559999999</v>
      </c>
      <c r="F24" s="4">
        <v>1.6922477</v>
      </c>
      <c r="G24" s="4">
        <v>0.1099779</v>
      </c>
      <c r="H24" s="4">
        <v>0.27050259999999998</v>
      </c>
      <c r="I24" s="4">
        <v>3.6968220000000001</v>
      </c>
    </row>
    <row r="25" spans="3:18" x14ac:dyDescent="0.25">
      <c r="C25" s="2" t="s">
        <v>15</v>
      </c>
      <c r="D25" s="4">
        <v>0.45986370500000001</v>
      </c>
      <c r="E25" s="4">
        <v>0.20925162820000001</v>
      </c>
      <c r="F25" s="4">
        <v>1.0020666</v>
      </c>
      <c r="G25" s="4">
        <v>0.33122629999999997</v>
      </c>
      <c r="H25" s="4">
        <v>0.33858329999999998</v>
      </c>
      <c r="I25" s="4">
        <v>2.9534829999999999</v>
      </c>
    </row>
    <row r="26" spans="3:18" x14ac:dyDescent="0.25">
      <c r="C26" s="2" t="s">
        <v>8</v>
      </c>
      <c r="D26" s="4">
        <v>1.204821092</v>
      </c>
      <c r="E26" s="4">
        <v>0.54822933939999996</v>
      </c>
      <c r="F26" s="4">
        <v>1.946699</v>
      </c>
      <c r="G26" s="4">
        <v>6.9346660000000004E-2</v>
      </c>
      <c r="H26" s="4">
        <v>0.51647480000000001</v>
      </c>
      <c r="I26" s="4">
        <v>1.9362029999999999</v>
      </c>
    </row>
    <row r="27" spans="3:18" x14ac:dyDescent="0.25">
      <c r="C27" s="2" t="s">
        <v>9</v>
      </c>
      <c r="D27" s="4">
        <v>1.399857E-3</v>
      </c>
      <c r="E27" s="4">
        <v>6.369762E-4</v>
      </c>
      <c r="F27" s="4">
        <v>1.0243092</v>
      </c>
      <c r="G27" s="4">
        <v>0.32092749999999998</v>
      </c>
      <c r="H27" s="4">
        <v>0.45544420000000002</v>
      </c>
      <c r="I27" s="4">
        <v>2.195659</v>
      </c>
    </row>
    <row r="28" spans="3:18" x14ac:dyDescent="0.25">
      <c r="C28" s="2" t="s">
        <v>16</v>
      </c>
      <c r="D28" s="4">
        <v>0.94481881999999995</v>
      </c>
      <c r="E28" s="4">
        <v>0.42992059199999999</v>
      </c>
      <c r="F28" s="4">
        <v>1.7292928999999999</v>
      </c>
      <c r="G28" s="4">
        <v>0.1029986</v>
      </c>
      <c r="H28" s="4">
        <v>0.36660680000000001</v>
      </c>
      <c r="I28" s="4">
        <v>2.7277179999999999</v>
      </c>
    </row>
    <row r="29" spans="3:18" x14ac:dyDescent="0.25">
      <c r="C29" s="2" t="s">
        <v>17</v>
      </c>
      <c r="D29" s="4">
        <v>-0.79723805699999994</v>
      </c>
      <c r="E29" s="4">
        <v>-0.36276696679999998</v>
      </c>
      <c r="F29" s="4">
        <v>-1.4278841</v>
      </c>
      <c r="G29" s="4">
        <v>0.17255319999999999</v>
      </c>
      <c r="H29" s="4">
        <v>0.28722360000000002</v>
      </c>
      <c r="I29" s="4">
        <v>3.481608</v>
      </c>
    </row>
    <row r="30" spans="3:18" x14ac:dyDescent="0.25">
      <c r="C30" s="2" t="s">
        <v>18</v>
      </c>
      <c r="D30" s="4">
        <v>-0.26881009500000003</v>
      </c>
      <c r="E30" s="4">
        <v>-0.1223165677</v>
      </c>
      <c r="F30" s="4">
        <v>-0.64945059999999999</v>
      </c>
      <c r="G30" s="4">
        <v>0.52526170000000005</v>
      </c>
      <c r="H30" s="4">
        <v>0.57134459999999998</v>
      </c>
      <c r="I30" s="4">
        <v>1.750257</v>
      </c>
    </row>
    <row r="31" spans="3:18" x14ac:dyDescent="0.25">
      <c r="C31" s="2" t="s">
        <v>21</v>
      </c>
      <c r="D31" s="4">
        <v>1.241412532</v>
      </c>
      <c r="E31" s="4">
        <v>0.56487953020000004</v>
      </c>
      <c r="F31" s="4">
        <v>2.8138432999999998</v>
      </c>
      <c r="G31" s="4">
        <v>1.247969E-2</v>
      </c>
      <c r="H31" s="4">
        <v>0.50288040000000001</v>
      </c>
      <c r="I31" s="4">
        <v>1.988545</v>
      </c>
    </row>
    <row r="32" spans="3:18" x14ac:dyDescent="0.25">
      <c r="C32" s="2" t="s">
        <v>22</v>
      </c>
      <c r="D32" s="4">
        <v>0.95694803399999995</v>
      </c>
      <c r="E32" s="4">
        <v>0.43543974429999999</v>
      </c>
      <c r="F32" s="4">
        <v>1.5826917</v>
      </c>
      <c r="G32" s="4">
        <v>0.1330556</v>
      </c>
      <c r="H32" s="4">
        <v>0.76975210000000005</v>
      </c>
      <c r="I32" s="4">
        <v>1.2991200000000001</v>
      </c>
    </row>
    <row r="33" spans="3:9" x14ac:dyDescent="0.25">
      <c r="C33" s="2" t="s">
        <v>42</v>
      </c>
      <c r="D33" s="4">
        <v>-0.51938124100000005</v>
      </c>
      <c r="E33" s="4">
        <v>-0.23633387280000001</v>
      </c>
      <c r="F33" s="4">
        <v>-0.76289209999999996</v>
      </c>
      <c r="G33" s="4">
        <v>0.45662900000000001</v>
      </c>
      <c r="H33" s="4">
        <v>0.60713969999999995</v>
      </c>
      <c r="I33" s="4">
        <v>1.6470670000000001</v>
      </c>
    </row>
    <row r="34" spans="3:9" x14ac:dyDescent="0.25">
      <c r="C34" s="2" t="s">
        <v>43</v>
      </c>
      <c r="D34" s="4">
        <v>-0.120692566</v>
      </c>
      <c r="E34" s="4">
        <v>-5.4918697900000001E-2</v>
      </c>
      <c r="F34" s="4">
        <v>-1.4695472999999999</v>
      </c>
      <c r="G34" s="4">
        <v>0.16107299999999999</v>
      </c>
      <c r="H34" s="4">
        <v>0.43385380000000001</v>
      </c>
      <c r="I34" s="4">
        <v>2.3049240000000002</v>
      </c>
    </row>
    <row r="35" spans="3:9" x14ac:dyDescent="0.25">
      <c r="C35" s="2" t="s">
        <v>23</v>
      </c>
      <c r="D35" s="4">
        <v>1.661665891</v>
      </c>
      <c r="E35" s="4">
        <v>0.75610727550000001</v>
      </c>
      <c r="F35" s="4">
        <v>3.8530730000000002</v>
      </c>
      <c r="G35" s="4">
        <v>1.4061849999999999E-3</v>
      </c>
      <c r="H35" s="4">
        <v>0.3765889</v>
      </c>
      <c r="I35" s="4">
        <v>2.6554150000000001</v>
      </c>
    </row>
    <row r="36" spans="3:9" x14ac:dyDescent="0.25">
      <c r="C36" s="2" t="s">
        <v>10</v>
      </c>
      <c r="D36" s="4">
        <v>-0.148106722</v>
      </c>
      <c r="E36" s="4">
        <v>-6.7392952300000003E-2</v>
      </c>
      <c r="F36" s="4">
        <v>-4.1806431999999996</v>
      </c>
      <c r="G36" s="4">
        <v>7.0652930000000001E-4</v>
      </c>
      <c r="H36" s="4">
        <v>0.31484269999999998</v>
      </c>
      <c r="I36" s="4">
        <v>3.1761889999999999</v>
      </c>
    </row>
  </sheetData>
  <mergeCells count="2">
    <mergeCell ref="D16:G16"/>
    <mergeCell ref="D21:G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FB65B-5DC6-4FAF-BD36-E315862CCC28}">
  <dimension ref="C8:W36"/>
  <sheetViews>
    <sheetView topLeftCell="A4" workbookViewId="0">
      <selection activeCell="C17" sqref="C17:I21"/>
    </sheetView>
  </sheetViews>
  <sheetFormatPr defaultRowHeight="15" x14ac:dyDescent="0.25"/>
  <cols>
    <col min="3" max="3" width="11" bestFit="1" customWidth="1"/>
    <col min="4" max="4" width="14.7109375" bestFit="1" customWidth="1"/>
    <col min="5" max="5" width="20" bestFit="1" customWidth="1"/>
    <col min="6" max="6" width="12.7109375" bestFit="1" customWidth="1"/>
    <col min="7" max="7" width="12" bestFit="1" customWidth="1"/>
    <col min="8" max="8" width="10" bestFit="1" customWidth="1"/>
    <col min="9" max="9" width="9" bestFit="1" customWidth="1"/>
    <col min="12" max="12" width="11.28515625" bestFit="1" customWidth="1"/>
    <col min="13" max="13" width="4.42578125" bestFit="1" customWidth="1"/>
    <col min="14" max="14" width="7.42578125" bestFit="1" customWidth="1"/>
    <col min="15" max="15" width="8.5703125" bestFit="1" customWidth="1"/>
    <col min="16" max="16" width="8" bestFit="1" customWidth="1"/>
    <col min="17" max="17" width="11.28515625" bestFit="1" customWidth="1"/>
    <col min="18" max="18" width="20" bestFit="1" customWidth="1"/>
    <col min="19" max="19" width="9.7109375" bestFit="1" customWidth="1"/>
    <col min="20" max="20" width="11.5703125" bestFit="1" customWidth="1"/>
    <col min="21" max="21" width="9.7109375" bestFit="1" customWidth="1"/>
    <col min="22" max="22" width="10" bestFit="1" customWidth="1"/>
    <col min="23" max="23" width="12.140625" bestFit="1" customWidth="1"/>
  </cols>
  <sheetData>
    <row r="8" spans="17:23" x14ac:dyDescent="0.25">
      <c r="Q8" s="12"/>
    </row>
    <row r="10" spans="17:23" x14ac:dyDescent="0.25">
      <c r="Q10" s="8" t="s">
        <v>44</v>
      </c>
      <c r="R10" t="s">
        <v>45</v>
      </c>
      <c r="S10" t="s">
        <v>46</v>
      </c>
    </row>
    <row r="11" spans="17:23" x14ac:dyDescent="0.25">
      <c r="Q11" s="8"/>
      <c r="R11" t="s">
        <v>47</v>
      </c>
      <c r="S11" t="s">
        <v>48</v>
      </c>
      <c r="T11" t="s">
        <v>49</v>
      </c>
      <c r="U11" t="s">
        <v>50</v>
      </c>
      <c r="V11" t="s">
        <v>51</v>
      </c>
    </row>
    <row r="12" spans="17:23" x14ac:dyDescent="0.25">
      <c r="Q12" s="8" t="s">
        <v>15</v>
      </c>
      <c r="R12">
        <v>1</v>
      </c>
      <c r="S12">
        <v>1.4690000000000001</v>
      </c>
      <c r="T12">
        <v>1.4690000000000001</v>
      </c>
      <c r="U12">
        <v>2.5204</v>
      </c>
      <c r="V12">
        <v>0.13080549999999999</v>
      </c>
    </row>
    <row r="13" spans="17:23" x14ac:dyDescent="0.25">
      <c r="Q13" s="8" t="s">
        <v>8</v>
      </c>
      <c r="R13">
        <v>1</v>
      </c>
      <c r="S13">
        <v>3.0640000000000001</v>
      </c>
      <c r="T13">
        <v>3.0640000000000001</v>
      </c>
      <c r="U13">
        <v>5.2561999999999998</v>
      </c>
      <c r="V13">
        <v>3.4895099999999998E-2</v>
      </c>
      <c r="W13" t="s">
        <v>70</v>
      </c>
    </row>
    <row r="14" spans="17:23" x14ac:dyDescent="0.25">
      <c r="Q14" s="8" t="s">
        <v>9</v>
      </c>
      <c r="R14">
        <v>1</v>
      </c>
      <c r="S14">
        <v>8.27</v>
      </c>
      <c r="T14">
        <v>8.27</v>
      </c>
      <c r="U14">
        <v>14.187799999999999</v>
      </c>
      <c r="V14">
        <v>1.5382E-3</v>
      </c>
      <c r="W14" t="s">
        <v>52</v>
      </c>
    </row>
    <row r="15" spans="17:23" x14ac:dyDescent="0.25">
      <c r="Q15" s="8" t="s">
        <v>16</v>
      </c>
      <c r="R15">
        <v>1</v>
      </c>
      <c r="S15">
        <v>52.284999999999997</v>
      </c>
      <c r="T15">
        <v>52.284999999999997</v>
      </c>
      <c r="U15">
        <v>89.701400000000007</v>
      </c>
      <c r="V15" s="12">
        <v>3.4130000000000002E-8</v>
      </c>
      <c r="W15" t="s">
        <v>53</v>
      </c>
    </row>
    <row r="16" spans="17:23" x14ac:dyDescent="0.25">
      <c r="Q16" s="8" t="s">
        <v>17</v>
      </c>
      <c r="R16">
        <v>1</v>
      </c>
      <c r="S16">
        <v>8.7759999999999998</v>
      </c>
      <c r="T16">
        <v>8.7759999999999998</v>
      </c>
      <c r="U16">
        <v>15.0556</v>
      </c>
      <c r="V16">
        <v>1.2024E-3</v>
      </c>
      <c r="W16" t="s">
        <v>52</v>
      </c>
    </row>
    <row r="17" spans="3:23" x14ac:dyDescent="0.25">
      <c r="D17" s="17" t="s">
        <v>61</v>
      </c>
      <c r="E17" s="17"/>
      <c r="F17" s="17"/>
      <c r="G17" s="17"/>
      <c r="Q17" s="8" t="s">
        <v>18</v>
      </c>
      <c r="R17">
        <v>1</v>
      </c>
      <c r="S17">
        <v>1.4530000000000001</v>
      </c>
      <c r="T17">
        <v>1.4530000000000001</v>
      </c>
      <c r="U17">
        <v>2.4935</v>
      </c>
      <c r="V17">
        <v>0.13274530000000001</v>
      </c>
    </row>
    <row r="18" spans="3:23" x14ac:dyDescent="0.25">
      <c r="C18" s="1"/>
      <c r="D18" s="6" t="s">
        <v>57</v>
      </c>
      <c r="E18" s="6" t="s">
        <v>58</v>
      </c>
      <c r="F18" s="6" t="s">
        <v>59</v>
      </c>
      <c r="G18" s="6" t="s">
        <v>27</v>
      </c>
      <c r="H18" s="6" t="s">
        <v>60</v>
      </c>
      <c r="Q18" s="8" t="s">
        <v>21</v>
      </c>
      <c r="R18">
        <v>1</v>
      </c>
      <c r="S18">
        <v>7.8239999999999998</v>
      </c>
      <c r="T18">
        <v>7.8239999999999998</v>
      </c>
      <c r="U18">
        <v>13.4237</v>
      </c>
      <c r="V18">
        <v>1.9231000000000001E-3</v>
      </c>
      <c r="W18" t="s">
        <v>52</v>
      </c>
    </row>
    <row r="19" spans="3:23" x14ac:dyDescent="0.25">
      <c r="C19" s="2" t="s">
        <v>55</v>
      </c>
      <c r="D19" s="15">
        <f>SUM(S12:S23)</f>
        <v>130.15299999999999</v>
      </c>
      <c r="E19" s="16">
        <f>SUM(R12:R23)</f>
        <v>12</v>
      </c>
      <c r="F19" s="15">
        <f>D19/E19</f>
        <v>10.846083333333333</v>
      </c>
      <c r="G19" s="15">
        <f>AVERAGE(U12:U23)</f>
        <v>18.607650000000003</v>
      </c>
      <c r="H19" s="15">
        <v>0</v>
      </c>
      <c r="Q19" s="8" t="s">
        <v>22</v>
      </c>
      <c r="R19">
        <v>1</v>
      </c>
      <c r="S19">
        <v>12.332000000000001</v>
      </c>
      <c r="T19">
        <v>12.332000000000001</v>
      </c>
      <c r="U19">
        <v>21.157399999999999</v>
      </c>
      <c r="V19">
        <v>2.5520000000000002E-4</v>
      </c>
      <c r="W19" t="s">
        <v>53</v>
      </c>
    </row>
    <row r="20" spans="3:23" x14ac:dyDescent="0.25">
      <c r="C20" s="2" t="s">
        <v>54</v>
      </c>
      <c r="D20" s="15">
        <f>S24</f>
        <v>9.9090000000000007</v>
      </c>
      <c r="E20" s="16">
        <f>R24</f>
        <v>17</v>
      </c>
      <c r="F20" s="15">
        <f>D20/E20</f>
        <v>0.58288235294117652</v>
      </c>
      <c r="G20" s="15"/>
      <c r="H20" s="15"/>
      <c r="Q20" s="8" t="s">
        <v>42</v>
      </c>
      <c r="R20">
        <v>1</v>
      </c>
      <c r="S20">
        <v>0.27600000000000002</v>
      </c>
      <c r="T20">
        <v>0.27600000000000002</v>
      </c>
      <c r="U20">
        <v>0.47289999999999999</v>
      </c>
      <c r="V20">
        <v>0.50092270000000005</v>
      </c>
    </row>
    <row r="21" spans="3:23" x14ac:dyDescent="0.25">
      <c r="C21" s="2" t="s">
        <v>56</v>
      </c>
      <c r="D21" s="15">
        <f>SUM(D19:D20)</f>
        <v>140.06199999999998</v>
      </c>
      <c r="E21" s="16">
        <f>SUM(E19:E20)</f>
        <v>29</v>
      </c>
      <c r="F21" s="3"/>
      <c r="G21" s="3"/>
      <c r="H21" s="3"/>
      <c r="Q21" s="8" t="s">
        <v>43</v>
      </c>
      <c r="R21">
        <v>1</v>
      </c>
      <c r="S21">
        <v>11.3</v>
      </c>
      <c r="T21">
        <v>11.3</v>
      </c>
      <c r="U21">
        <v>19.3857</v>
      </c>
      <c r="V21">
        <v>3.8870000000000002E-4</v>
      </c>
      <c r="W21" t="s">
        <v>53</v>
      </c>
    </row>
    <row r="22" spans="3:23" x14ac:dyDescent="0.25">
      <c r="D22" s="18" t="s">
        <v>35</v>
      </c>
      <c r="E22" s="18"/>
      <c r="F22" s="18"/>
      <c r="G22" s="18"/>
      <c r="Q22" s="8" t="s">
        <v>23</v>
      </c>
      <c r="R22">
        <v>1</v>
      </c>
      <c r="S22">
        <v>13.06</v>
      </c>
      <c r="T22">
        <v>13.06</v>
      </c>
      <c r="U22">
        <v>22.405100000000001</v>
      </c>
      <c r="V22">
        <v>1.9210000000000001E-4</v>
      </c>
      <c r="W22" t="s">
        <v>53</v>
      </c>
    </row>
    <row r="23" spans="3:23" x14ac:dyDescent="0.25">
      <c r="C23" s="6" t="s">
        <v>34</v>
      </c>
      <c r="D23" s="6" t="s">
        <v>35</v>
      </c>
      <c r="E23" s="6" t="s">
        <v>36</v>
      </c>
      <c r="F23" s="6" t="s">
        <v>37</v>
      </c>
      <c r="G23" s="6" t="s">
        <v>38</v>
      </c>
      <c r="H23" s="6" t="s">
        <v>39</v>
      </c>
      <c r="I23" s="6" t="s">
        <v>40</v>
      </c>
      <c r="Q23" s="8" t="s">
        <v>10</v>
      </c>
      <c r="R23">
        <v>1</v>
      </c>
      <c r="S23">
        <v>10.044</v>
      </c>
      <c r="T23">
        <v>10.044</v>
      </c>
      <c r="U23">
        <v>17.232099999999999</v>
      </c>
      <c r="V23">
        <v>6.6859999999999999E-4</v>
      </c>
      <c r="W23" t="s">
        <v>53</v>
      </c>
    </row>
    <row r="24" spans="3:23" x14ac:dyDescent="0.25">
      <c r="C24" s="1" t="s">
        <v>41</v>
      </c>
      <c r="D24" s="7">
        <v>13.131875723</v>
      </c>
      <c r="E24" s="7">
        <v>5.9753930262999999</v>
      </c>
      <c r="F24" s="7">
        <v>5.9360866999999997</v>
      </c>
      <c r="G24" s="7">
        <v>1.6268630000000001E-5</v>
      </c>
      <c r="H24" s="7"/>
      <c r="I24" s="7"/>
      <c r="Q24" s="8" t="s">
        <v>54</v>
      </c>
      <c r="R24">
        <v>17</v>
      </c>
      <c r="S24">
        <v>9.9090000000000007</v>
      </c>
      <c r="T24">
        <v>0.58299999999999996</v>
      </c>
    </row>
    <row r="25" spans="3:23" x14ac:dyDescent="0.25">
      <c r="C25" s="1" t="s">
        <v>15</v>
      </c>
      <c r="D25" s="7">
        <v>0.74921608699999998</v>
      </c>
      <c r="E25" s="7">
        <v>0.34091554610000002</v>
      </c>
      <c r="F25" s="7">
        <v>1.6700877000000001</v>
      </c>
      <c r="G25" s="7">
        <v>0.1132098</v>
      </c>
      <c r="H25" s="7">
        <v>0.3931634</v>
      </c>
      <c r="I25" s="7">
        <v>2.543472</v>
      </c>
      <c r="Q25" s="8" t="s">
        <v>62</v>
      </c>
    </row>
    <row r="26" spans="3:23" x14ac:dyDescent="0.25">
      <c r="C26" s="1" t="s">
        <v>8</v>
      </c>
      <c r="D26" s="7">
        <v>1.0247086009999999</v>
      </c>
      <c r="E26" s="7">
        <v>0.46627281259999998</v>
      </c>
      <c r="F26" s="7">
        <v>1.5955353999999999</v>
      </c>
      <c r="G26" s="7">
        <v>0.1290135</v>
      </c>
      <c r="H26" s="7">
        <v>0.53221459999999998</v>
      </c>
      <c r="I26" s="7">
        <v>1.878941</v>
      </c>
      <c r="Q26" s="9" t="s">
        <v>63</v>
      </c>
      <c r="R26" t="s">
        <v>64</v>
      </c>
      <c r="S26" t="s">
        <v>65</v>
      </c>
      <c r="T26" t="s">
        <v>66</v>
      </c>
      <c r="U26" t="s">
        <v>67</v>
      </c>
      <c r="V26" t="s">
        <v>68</v>
      </c>
      <c r="W26" t="s">
        <v>69</v>
      </c>
    </row>
    <row r="27" spans="3:23" x14ac:dyDescent="0.25">
      <c r="C27" s="1" t="s">
        <v>9</v>
      </c>
      <c r="D27" s="7">
        <v>1.612657E-3</v>
      </c>
      <c r="E27" s="7">
        <v>7.3380679999999999E-4</v>
      </c>
      <c r="F27" s="7">
        <v>1.1249853999999999</v>
      </c>
      <c r="G27" s="7">
        <v>0.27622859999999999</v>
      </c>
      <c r="H27" s="7">
        <v>0.4593332</v>
      </c>
      <c r="I27" s="7">
        <v>2.1770689999999999</v>
      </c>
    </row>
    <row r="28" spans="3:23" x14ac:dyDescent="0.25">
      <c r="C28" s="1" t="s">
        <v>16</v>
      </c>
      <c r="D28" s="7">
        <v>1.260899201</v>
      </c>
      <c r="E28" s="7">
        <v>0.57374654250000001</v>
      </c>
      <c r="F28" s="7">
        <v>2.3313063000000001</v>
      </c>
      <c r="G28" s="7">
        <v>3.229945E-2</v>
      </c>
      <c r="H28" s="7">
        <v>0.41512270000000001</v>
      </c>
      <c r="I28" s="7">
        <v>2.4089269999999998</v>
      </c>
    </row>
    <row r="29" spans="3:23" x14ac:dyDescent="0.25">
      <c r="C29" s="1" t="s">
        <v>17</v>
      </c>
      <c r="D29" s="7">
        <v>-0.44916884400000001</v>
      </c>
      <c r="E29" s="7">
        <v>-0.20438514890000001</v>
      </c>
      <c r="F29" s="7">
        <v>-0.82147789999999998</v>
      </c>
      <c r="G29" s="7">
        <v>0.4227457</v>
      </c>
      <c r="H29" s="7">
        <v>0.33232339999999999</v>
      </c>
      <c r="I29" s="7">
        <v>3.0091169999999998</v>
      </c>
    </row>
    <row r="30" spans="3:23" x14ac:dyDescent="0.25">
      <c r="C30" s="1" t="s">
        <v>18</v>
      </c>
      <c r="D30" s="7">
        <v>-0.38679325799999997</v>
      </c>
      <c r="E30" s="7">
        <v>-0.17600240719999999</v>
      </c>
      <c r="F30" s="7">
        <v>-0.89999629999999997</v>
      </c>
      <c r="G30" s="7">
        <v>0.3806947</v>
      </c>
      <c r="H30" s="7">
        <v>0.58802909999999997</v>
      </c>
      <c r="I30" s="7">
        <v>1.700596</v>
      </c>
    </row>
    <row r="31" spans="3:23" x14ac:dyDescent="0.25">
      <c r="C31" s="1" t="s">
        <v>21</v>
      </c>
      <c r="D31" s="7">
        <v>1.00925296</v>
      </c>
      <c r="E31" s="7">
        <v>0.45924003730000001</v>
      </c>
      <c r="F31" s="7">
        <v>2.2849572999999999</v>
      </c>
      <c r="G31" s="7">
        <v>3.5434180000000003E-2</v>
      </c>
      <c r="H31" s="7">
        <v>0.55671280000000001</v>
      </c>
      <c r="I31" s="7">
        <v>1.7962579999999999</v>
      </c>
    </row>
    <row r="32" spans="3:23" x14ac:dyDescent="0.25">
      <c r="C32" s="1" t="s">
        <v>22</v>
      </c>
      <c r="D32" s="7">
        <v>0.94592064099999995</v>
      </c>
      <c r="E32" s="7">
        <v>0.43042195329999999</v>
      </c>
      <c r="F32" s="7">
        <v>1.4852476999999999</v>
      </c>
      <c r="G32" s="7">
        <v>0.1557859</v>
      </c>
      <c r="H32" s="7">
        <v>0.76984149999999996</v>
      </c>
      <c r="I32" s="7">
        <v>1.298969</v>
      </c>
    </row>
    <row r="33" spans="3:9" x14ac:dyDescent="0.25">
      <c r="C33" s="1" t="s">
        <v>42</v>
      </c>
      <c r="D33" s="7">
        <v>-0.10065927500000001</v>
      </c>
      <c r="E33" s="7">
        <v>-4.5802956399999997E-2</v>
      </c>
      <c r="F33" s="7">
        <v>-0.1506624</v>
      </c>
      <c r="G33" s="7">
        <v>0.88201529999999995</v>
      </c>
      <c r="H33" s="7">
        <v>0.69954400000000005</v>
      </c>
      <c r="I33" s="7">
        <v>1.429503</v>
      </c>
    </row>
    <row r="34" spans="3:9" x14ac:dyDescent="0.25">
      <c r="C34" s="1" t="s">
        <v>43</v>
      </c>
      <c r="D34" s="7">
        <v>-0.113210008</v>
      </c>
      <c r="E34" s="7">
        <v>-5.1513912100000003E-2</v>
      </c>
      <c r="F34" s="7">
        <v>-1.3104764</v>
      </c>
      <c r="G34" s="7">
        <v>0.2074647</v>
      </c>
      <c r="H34" s="7">
        <v>0.43511499999999997</v>
      </c>
      <c r="I34" s="7">
        <v>2.2982429999999998</v>
      </c>
    </row>
    <row r="35" spans="3:9" x14ac:dyDescent="0.25">
      <c r="C35" s="1" t="s">
        <v>23</v>
      </c>
      <c r="D35" s="7">
        <v>1.661390535</v>
      </c>
      <c r="E35" s="7">
        <v>0.75598198029999997</v>
      </c>
      <c r="F35" s="7">
        <v>3.6571796000000001</v>
      </c>
      <c r="G35" s="7">
        <v>1.9510549999999999E-3</v>
      </c>
      <c r="H35" s="7">
        <v>0.37658900000000001</v>
      </c>
      <c r="I35" s="7">
        <v>2.6554150000000001</v>
      </c>
    </row>
    <row r="36" spans="3:9" x14ac:dyDescent="0.25">
      <c r="C36" s="1" t="s">
        <v>10</v>
      </c>
      <c r="D36" s="7">
        <v>-0.15412969000000001</v>
      </c>
      <c r="E36" s="7">
        <v>-7.0133581400000006E-2</v>
      </c>
      <c r="F36" s="7">
        <v>-4.1511506000000002</v>
      </c>
      <c r="G36" s="7">
        <v>6.6855210000000003E-4</v>
      </c>
      <c r="H36" s="7">
        <v>0.31805290000000003</v>
      </c>
      <c r="I36" s="7">
        <v>3.1441309999999998</v>
      </c>
    </row>
  </sheetData>
  <mergeCells count="2">
    <mergeCell ref="D17:G17"/>
    <mergeCell ref="D22:G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AA7B6-EA7E-49F7-B7AD-8F50E64B5A06}">
  <dimension ref="B1:H78"/>
  <sheetViews>
    <sheetView topLeftCell="A7" workbookViewId="0">
      <selection activeCell="B71" sqref="B71"/>
    </sheetView>
  </sheetViews>
  <sheetFormatPr defaultRowHeight="15" x14ac:dyDescent="0.25"/>
  <cols>
    <col min="2" max="2" width="109" bestFit="1" customWidth="1"/>
    <col min="3" max="3" width="7.7109375" bestFit="1" customWidth="1"/>
    <col min="4" max="4" width="20" bestFit="1" customWidth="1"/>
    <col min="5" max="5" width="17.85546875" bestFit="1" customWidth="1"/>
    <col min="6" max="6" width="18.85546875" bestFit="1" customWidth="1"/>
    <col min="7" max="7" width="19" bestFit="1" customWidth="1"/>
    <col min="8" max="8" width="19.42578125" bestFit="1" customWidth="1"/>
    <col min="9" max="9" width="17.28515625" bestFit="1" customWidth="1"/>
    <col min="10" max="10" width="18.28515625" bestFit="1" customWidth="1"/>
    <col min="11" max="11" width="19" bestFit="1" customWidth="1"/>
    <col min="12" max="12" width="19.42578125" bestFit="1" customWidth="1"/>
    <col min="13" max="13" width="17.28515625" bestFit="1" customWidth="1"/>
    <col min="14" max="14" width="18.28515625" bestFit="1" customWidth="1"/>
    <col min="15" max="15" width="20" bestFit="1" customWidth="1"/>
    <col min="16" max="16" width="20.42578125" bestFit="1" customWidth="1"/>
    <col min="17" max="17" width="18.28515625" bestFit="1" customWidth="1"/>
    <col min="18" max="18" width="19.28515625" bestFit="1" customWidth="1"/>
    <col min="19" max="19" width="17" bestFit="1" customWidth="1"/>
    <col min="20" max="20" width="17.5703125" bestFit="1" customWidth="1"/>
    <col min="21" max="21" width="15.28515625" bestFit="1" customWidth="1"/>
    <col min="22" max="22" width="16.28515625" bestFit="1" customWidth="1"/>
    <col min="23" max="23" width="17" bestFit="1" customWidth="1"/>
    <col min="24" max="24" width="17.5703125" bestFit="1" customWidth="1"/>
    <col min="25" max="25" width="15.28515625" bestFit="1" customWidth="1"/>
    <col min="26" max="26" width="16.28515625" bestFit="1" customWidth="1"/>
    <col min="27" max="27" width="17" bestFit="1" customWidth="1"/>
    <col min="28" max="28" width="17.5703125" bestFit="1" customWidth="1"/>
    <col min="29" max="29" width="15.28515625" bestFit="1" customWidth="1"/>
    <col min="30" max="30" width="16.28515625" bestFit="1" customWidth="1"/>
    <col min="31" max="31" width="17.5703125" bestFit="1" customWidth="1"/>
    <col min="32" max="32" width="18" bestFit="1" customWidth="1"/>
    <col min="33" max="33" width="15.7109375" bestFit="1" customWidth="1"/>
    <col min="34" max="34" width="16.7109375" bestFit="1" customWidth="1"/>
    <col min="35" max="35" width="17.5703125" bestFit="1" customWidth="1"/>
    <col min="36" max="36" width="18" bestFit="1" customWidth="1"/>
    <col min="37" max="37" width="15.7109375" bestFit="1" customWidth="1"/>
    <col min="38" max="38" width="16.7109375" bestFit="1" customWidth="1"/>
    <col min="39" max="39" width="18.7109375" bestFit="1" customWidth="1"/>
    <col min="40" max="40" width="19.140625" bestFit="1" customWidth="1"/>
    <col min="41" max="41" width="16.85546875" bestFit="1" customWidth="1"/>
    <col min="42" max="42" width="18" bestFit="1" customWidth="1"/>
    <col min="43" max="43" width="14.7109375" bestFit="1" customWidth="1"/>
    <col min="44" max="44" width="15.140625" bestFit="1" customWidth="1"/>
    <col min="45" max="45" width="12.85546875" bestFit="1" customWidth="1"/>
    <col min="46" max="46" width="14" bestFit="1" customWidth="1"/>
    <col min="47" max="47" width="18.85546875" bestFit="1" customWidth="1"/>
    <col min="48" max="48" width="19.28515625" bestFit="1" customWidth="1"/>
    <col min="49" max="49" width="17" bestFit="1" customWidth="1"/>
    <col min="50" max="50" width="18.140625" bestFit="1" customWidth="1"/>
    <col min="51" max="51" width="16.42578125" bestFit="1" customWidth="1"/>
    <col min="52" max="52" width="16.85546875" bestFit="1" customWidth="1"/>
    <col min="53" max="53" width="14.7109375" bestFit="1" customWidth="1"/>
    <col min="54" max="54" width="15.7109375" bestFit="1" customWidth="1"/>
  </cols>
  <sheetData>
    <row r="1" spans="2:8" x14ac:dyDescent="0.25">
      <c r="B1" s="19" t="s">
        <v>71</v>
      </c>
    </row>
    <row r="2" spans="2:8" x14ac:dyDescent="0.25">
      <c r="B2" s="19" t="s">
        <v>72</v>
      </c>
    </row>
    <row r="3" spans="2:8" x14ac:dyDescent="0.25">
      <c r="B3" s="19" t="s">
        <v>73</v>
      </c>
    </row>
    <row r="4" spans="2:8" x14ac:dyDescent="0.25">
      <c r="B4" s="19" t="s">
        <v>74</v>
      </c>
    </row>
    <row r="5" spans="2:8" x14ac:dyDescent="0.25">
      <c r="B5" s="19" t="s">
        <v>75</v>
      </c>
    </row>
    <row r="14" spans="2:8" x14ac:dyDescent="0.25">
      <c r="D14" s="22" t="s">
        <v>33</v>
      </c>
      <c r="E14" s="18"/>
      <c r="F14" s="18"/>
      <c r="G14" s="18"/>
      <c r="H14" s="23"/>
    </row>
    <row r="15" spans="2:8" x14ac:dyDescent="0.25">
      <c r="D15" s="6" t="s">
        <v>80</v>
      </c>
      <c r="E15" s="6" t="s">
        <v>76</v>
      </c>
      <c r="F15" s="6" t="s">
        <v>77</v>
      </c>
      <c r="G15" s="6" t="s">
        <v>78</v>
      </c>
      <c r="H15" s="6" t="s">
        <v>79</v>
      </c>
    </row>
    <row r="16" spans="2:8" x14ac:dyDescent="0.25">
      <c r="D16" s="7" t="s">
        <v>41</v>
      </c>
      <c r="E16" s="7">
        <v>13.131875723</v>
      </c>
      <c r="F16" s="7">
        <v>2.212210894</v>
      </c>
      <c r="G16" s="7">
        <v>5.9360866999999997</v>
      </c>
      <c r="H16" s="7">
        <v>1.6268630000000001E-5</v>
      </c>
    </row>
    <row r="17" spans="4:8" x14ac:dyDescent="0.25">
      <c r="D17" s="7" t="s">
        <v>15</v>
      </c>
      <c r="E17" s="7">
        <v>0.74921608699999998</v>
      </c>
      <c r="F17" s="7">
        <v>0.44860882099999999</v>
      </c>
      <c r="G17" s="7">
        <v>1.6700877000000001</v>
      </c>
      <c r="H17" s="7">
        <v>0.1132098</v>
      </c>
    </row>
    <row r="18" spans="4:8" x14ac:dyDescent="0.25">
      <c r="D18" s="7" t="s">
        <v>8</v>
      </c>
      <c r="E18" s="7">
        <v>1.0247086009999999</v>
      </c>
      <c r="F18" s="7">
        <v>0.64223496800000002</v>
      </c>
      <c r="G18" s="7">
        <v>1.5955353999999999</v>
      </c>
      <c r="H18" s="7">
        <v>0.1290135</v>
      </c>
    </row>
    <row r="19" spans="4:8" x14ac:dyDescent="0.25">
      <c r="D19" s="7" t="s">
        <v>9</v>
      </c>
      <c r="E19" s="7">
        <v>1.612657E-3</v>
      </c>
      <c r="F19" s="7">
        <v>1.433492E-3</v>
      </c>
      <c r="G19" s="7">
        <v>1.1249853999999999</v>
      </c>
      <c r="H19" s="7">
        <v>0.27622859999999999</v>
      </c>
    </row>
    <row r="20" spans="4:8" x14ac:dyDescent="0.25">
      <c r="D20" s="7" t="s">
        <v>16</v>
      </c>
      <c r="E20" s="7">
        <v>1.260899201</v>
      </c>
      <c r="F20" s="7">
        <v>0.540855219</v>
      </c>
      <c r="G20" s="7">
        <v>2.3313063000000001</v>
      </c>
      <c r="H20" s="7">
        <v>3.229945E-2</v>
      </c>
    </row>
    <row r="21" spans="4:8" x14ac:dyDescent="0.25">
      <c r="D21" s="7" t="s">
        <v>17</v>
      </c>
      <c r="E21" s="7">
        <v>-0.44916884400000001</v>
      </c>
      <c r="F21" s="7">
        <v>0.54678137900000001</v>
      </c>
      <c r="G21" s="7">
        <v>-0.82147789999999998</v>
      </c>
      <c r="H21" s="7">
        <v>0.4227457</v>
      </c>
    </row>
    <row r="22" spans="4:8" x14ac:dyDescent="0.25">
      <c r="D22" s="7" t="s">
        <v>18</v>
      </c>
      <c r="E22" s="7">
        <v>-0.38679325799999997</v>
      </c>
      <c r="F22" s="7">
        <v>0.429772031</v>
      </c>
      <c r="G22" s="7">
        <v>-0.89999629999999997</v>
      </c>
      <c r="H22" s="7">
        <v>0.3806947</v>
      </c>
    </row>
    <row r="23" spans="4:8" x14ac:dyDescent="0.25">
      <c r="D23" s="7" t="s">
        <v>21</v>
      </c>
      <c r="E23" s="7">
        <v>1.00925296</v>
      </c>
      <c r="F23" s="7">
        <v>0.44169445800000001</v>
      </c>
      <c r="G23" s="7">
        <v>2.2849572999999999</v>
      </c>
      <c r="H23" s="7">
        <v>3.5434180000000003E-2</v>
      </c>
    </row>
    <row r="24" spans="4:8" x14ac:dyDescent="0.25">
      <c r="D24" s="7" t="s">
        <v>22</v>
      </c>
      <c r="E24" s="7">
        <v>0.94592064099999995</v>
      </c>
      <c r="F24" s="7">
        <v>0.63687736100000003</v>
      </c>
      <c r="G24" s="7">
        <v>1.4852476999999999</v>
      </c>
      <c r="H24" s="7">
        <v>0.1557859</v>
      </c>
    </row>
    <row r="25" spans="4:8" x14ac:dyDescent="0.25">
      <c r="D25" s="7" t="s">
        <v>42</v>
      </c>
      <c r="E25" s="7">
        <v>-0.10065927500000001</v>
      </c>
      <c r="F25" s="7">
        <v>0.66811149599999997</v>
      </c>
      <c r="G25" s="7">
        <v>-0.1506624</v>
      </c>
      <c r="H25" s="7">
        <v>0.88201529999999995</v>
      </c>
    </row>
    <row r="26" spans="4:8" x14ac:dyDescent="0.25">
      <c r="D26" s="7" t="s">
        <v>43</v>
      </c>
      <c r="E26" s="7">
        <v>-0.113210008</v>
      </c>
      <c r="F26" s="7">
        <v>8.6388439999999997E-2</v>
      </c>
      <c r="G26" s="7">
        <v>-1.3104764</v>
      </c>
      <c r="H26" s="7">
        <v>0.2074647</v>
      </c>
    </row>
    <row r="27" spans="4:8" x14ac:dyDescent="0.25">
      <c r="D27" s="7" t="s">
        <v>23</v>
      </c>
      <c r="E27" s="7">
        <v>1.661390535</v>
      </c>
      <c r="F27" s="7">
        <v>0.45428191200000001</v>
      </c>
      <c r="G27" s="7">
        <v>3.6571796000000001</v>
      </c>
      <c r="H27" s="7">
        <v>1.9510549999999999E-3</v>
      </c>
    </row>
    <row r="28" spans="4:8" x14ac:dyDescent="0.25">
      <c r="D28" s="7" t="s">
        <v>10</v>
      </c>
      <c r="E28" s="7">
        <v>-0.15412969000000001</v>
      </c>
      <c r="F28" s="7">
        <v>3.7129390999999998E-2</v>
      </c>
      <c r="G28" s="7">
        <v>-4.1511506000000002</v>
      </c>
      <c r="H28" s="7">
        <v>6.6855210000000003E-4</v>
      </c>
    </row>
    <row r="29" spans="4:8" x14ac:dyDescent="0.25">
      <c r="D29" s="24" t="s">
        <v>30</v>
      </c>
      <c r="E29" s="25"/>
      <c r="F29" s="25"/>
      <c r="G29" s="25"/>
      <c r="H29" s="26"/>
    </row>
    <row r="30" spans="4:8" x14ac:dyDescent="0.25">
      <c r="D30" s="27" t="s">
        <v>80</v>
      </c>
      <c r="E30" s="27" t="s">
        <v>76</v>
      </c>
      <c r="F30" s="27" t="s">
        <v>77</v>
      </c>
      <c r="G30" s="27" t="s">
        <v>78</v>
      </c>
      <c r="H30" s="27" t="s">
        <v>79</v>
      </c>
    </row>
    <row r="31" spans="4:8" x14ac:dyDescent="0.25">
      <c r="D31" s="7" t="s">
        <v>41</v>
      </c>
      <c r="E31" s="7">
        <v>12.996292074999999</v>
      </c>
      <c r="F31" s="7">
        <v>1.9652700270000001</v>
      </c>
      <c r="G31" s="7">
        <v>6.6129803999999996</v>
      </c>
      <c r="H31" s="7">
        <v>3.2920239999999998E-6</v>
      </c>
    </row>
    <row r="32" spans="4:8" x14ac:dyDescent="0.25">
      <c r="D32" s="7" t="s">
        <v>15</v>
      </c>
      <c r="E32" s="7">
        <v>0.76806679099999997</v>
      </c>
      <c r="F32" s="7">
        <v>0.41894910899999999</v>
      </c>
      <c r="G32" s="7">
        <v>1.8333176</v>
      </c>
      <c r="H32" s="7">
        <v>8.3346959999999998E-2</v>
      </c>
    </row>
    <row r="33" spans="4:8" x14ac:dyDescent="0.25">
      <c r="D33" s="7" t="s">
        <v>8</v>
      </c>
      <c r="E33" s="7">
        <v>1.010261541</v>
      </c>
      <c r="F33" s="7">
        <v>0.61755600799999999</v>
      </c>
      <c r="G33" s="7">
        <v>1.6359026999999999</v>
      </c>
      <c r="H33" s="7">
        <v>0.1192252</v>
      </c>
    </row>
    <row r="34" spans="4:8" x14ac:dyDescent="0.25">
      <c r="D34" s="7" t="s">
        <v>9</v>
      </c>
      <c r="E34" s="7">
        <v>1.6626150000000001E-3</v>
      </c>
      <c r="F34" s="7">
        <v>1.356225E-3</v>
      </c>
      <c r="G34" s="7">
        <v>1.2259142999999999</v>
      </c>
      <c r="H34" s="7">
        <v>0.23602860000000001</v>
      </c>
    </row>
    <row r="35" spans="4:8" x14ac:dyDescent="0.25">
      <c r="D35" s="7" t="s">
        <v>16</v>
      </c>
      <c r="E35" s="7">
        <v>1.2542721610000001</v>
      </c>
      <c r="F35" s="7">
        <v>0.52422531699999997</v>
      </c>
      <c r="G35" s="7">
        <v>2.3926202999999999</v>
      </c>
      <c r="H35" s="7">
        <v>2.7845249999999998E-2</v>
      </c>
    </row>
    <row r="36" spans="4:8" x14ac:dyDescent="0.25">
      <c r="D36" s="7" t="s">
        <v>17</v>
      </c>
      <c r="E36" s="7">
        <v>-0.47386197499999999</v>
      </c>
      <c r="F36" s="7">
        <v>0.50728066000000005</v>
      </c>
      <c r="G36" s="7">
        <v>-0.93412189999999995</v>
      </c>
      <c r="H36" s="7">
        <v>0.36260389999999998</v>
      </c>
    </row>
    <row r="37" spans="4:8" x14ac:dyDescent="0.25">
      <c r="D37" s="7" t="s">
        <v>18</v>
      </c>
      <c r="E37" s="7">
        <v>-0.39592104700000003</v>
      </c>
      <c r="F37" s="7">
        <v>0.41376854400000002</v>
      </c>
      <c r="G37" s="7">
        <v>-0.95686599999999999</v>
      </c>
      <c r="H37" s="7">
        <v>0.35131109999999999</v>
      </c>
    </row>
    <row r="38" spans="4:8" x14ac:dyDescent="0.25">
      <c r="D38" s="7" t="s">
        <v>21</v>
      </c>
      <c r="E38" s="7">
        <v>1.0210343609999999</v>
      </c>
      <c r="F38" s="7">
        <v>0.42275127299999998</v>
      </c>
      <c r="G38" s="7">
        <v>2.4152130000000001</v>
      </c>
      <c r="H38" s="7">
        <v>2.6582870000000001E-2</v>
      </c>
    </row>
    <row r="39" spans="4:8" x14ac:dyDescent="0.25">
      <c r="D39" s="7" t="s">
        <v>22</v>
      </c>
      <c r="E39" s="7">
        <v>0.95055046700000001</v>
      </c>
      <c r="F39" s="7">
        <v>0.61862523700000005</v>
      </c>
      <c r="G39" s="7">
        <v>1.5365530000000001</v>
      </c>
      <c r="H39" s="7">
        <v>0.1417947</v>
      </c>
    </row>
    <row r="40" spans="4:8" x14ac:dyDescent="0.25">
      <c r="D40" s="7" t="s">
        <v>43</v>
      </c>
      <c r="E40" s="7">
        <v>-0.11095719499999999</v>
      </c>
      <c r="F40" s="7">
        <v>8.2742493E-2</v>
      </c>
      <c r="G40" s="7">
        <v>-1.3409941000000001</v>
      </c>
      <c r="H40" s="7">
        <v>0.19660030000000001</v>
      </c>
    </row>
    <row r="41" spans="4:8" x14ac:dyDescent="0.25">
      <c r="D41" s="7" t="s">
        <v>23</v>
      </c>
      <c r="E41" s="7">
        <v>1.6608200390000001</v>
      </c>
      <c r="F41" s="7">
        <v>0.44176196000000001</v>
      </c>
      <c r="G41" s="7">
        <v>3.7595361</v>
      </c>
      <c r="H41" s="7">
        <v>1.4351259999999999E-3</v>
      </c>
    </row>
    <row r="42" spans="4:8" x14ac:dyDescent="0.25">
      <c r="D42" s="7" t="s">
        <v>10</v>
      </c>
      <c r="E42" s="7">
        <v>-0.15421489499999999</v>
      </c>
      <c r="F42" s="7">
        <v>3.6103175000000001E-2</v>
      </c>
      <c r="G42" s="7">
        <v>-4.2715050999999997</v>
      </c>
      <c r="H42" s="7">
        <v>4.5921900000000002E-4</v>
      </c>
    </row>
    <row r="43" spans="4:8" x14ac:dyDescent="0.25">
      <c r="D43" s="24" t="s">
        <v>31</v>
      </c>
      <c r="E43" s="25"/>
      <c r="F43" s="25"/>
      <c r="G43" s="25"/>
      <c r="H43" s="26"/>
    </row>
    <row r="44" spans="4:8" x14ac:dyDescent="0.25">
      <c r="D44" s="27" t="s">
        <v>80</v>
      </c>
      <c r="E44" s="27" t="s">
        <v>76</v>
      </c>
      <c r="F44" s="27" t="s">
        <v>77</v>
      </c>
      <c r="G44" s="27" t="s">
        <v>78</v>
      </c>
      <c r="H44" s="27" t="s">
        <v>79</v>
      </c>
    </row>
    <row r="45" spans="4:8" x14ac:dyDescent="0.25">
      <c r="D45" s="7" t="s">
        <v>41</v>
      </c>
      <c r="E45" s="7">
        <v>12.634751808000001</v>
      </c>
      <c r="F45" s="7">
        <v>1.9203103429999999</v>
      </c>
      <c r="G45" s="7">
        <v>6.5795364000000003</v>
      </c>
      <c r="H45" s="7">
        <v>2.681312E-6</v>
      </c>
    </row>
    <row r="46" spans="4:8" x14ac:dyDescent="0.25">
      <c r="D46" s="7" t="s">
        <v>15</v>
      </c>
      <c r="E46" s="7">
        <v>0.69612604899999997</v>
      </c>
      <c r="F46" s="7">
        <v>0.41042646399999999</v>
      </c>
      <c r="G46" s="7">
        <v>1.6961042</v>
      </c>
      <c r="H46" s="7">
        <v>0.1061901</v>
      </c>
    </row>
    <row r="47" spans="4:8" x14ac:dyDescent="0.25">
      <c r="D47" s="7" t="s">
        <v>8</v>
      </c>
      <c r="E47" s="7">
        <v>1.0469882610000001</v>
      </c>
      <c r="F47" s="7">
        <v>0.61423320199999998</v>
      </c>
      <c r="G47" s="7">
        <v>1.7045452000000001</v>
      </c>
      <c r="H47" s="7">
        <v>0.10457760000000001</v>
      </c>
    </row>
    <row r="48" spans="4:8" x14ac:dyDescent="0.25">
      <c r="D48" s="7" t="s">
        <v>9</v>
      </c>
      <c r="E48" s="7">
        <v>1.2983960000000001E-3</v>
      </c>
      <c r="F48" s="7">
        <v>1.294606E-3</v>
      </c>
      <c r="G48" s="7">
        <v>1.0029277999999999</v>
      </c>
      <c r="H48" s="7">
        <v>0.32849840000000002</v>
      </c>
    </row>
    <row r="49" spans="4:8" x14ac:dyDescent="0.25">
      <c r="D49" s="7" t="s">
        <v>16</v>
      </c>
      <c r="E49" s="7">
        <v>1.581335425</v>
      </c>
      <c r="F49" s="7">
        <v>0.38884569800000002</v>
      </c>
      <c r="G49" s="7">
        <v>4.0667428000000001</v>
      </c>
      <c r="H49" s="7">
        <v>6.5785759999999996E-4</v>
      </c>
    </row>
    <row r="50" spans="4:8" x14ac:dyDescent="0.25">
      <c r="D50" s="7" t="s">
        <v>18</v>
      </c>
      <c r="E50" s="7">
        <v>-0.26846443199999998</v>
      </c>
      <c r="F50" s="7">
        <v>0.38931195699999999</v>
      </c>
      <c r="G50" s="7">
        <v>-0.6895869</v>
      </c>
      <c r="H50" s="7">
        <v>0.49879040000000002</v>
      </c>
    </row>
    <row r="51" spans="4:8" x14ac:dyDescent="0.25">
      <c r="D51" s="7" t="s">
        <v>21</v>
      </c>
      <c r="E51" s="7">
        <v>0.93882943399999996</v>
      </c>
      <c r="F51" s="7">
        <v>0.41210150499999998</v>
      </c>
      <c r="G51" s="7">
        <v>2.2781509</v>
      </c>
      <c r="H51" s="7">
        <v>3.4458919999999997E-2</v>
      </c>
    </row>
    <row r="52" spans="4:8" x14ac:dyDescent="0.25">
      <c r="D52" s="7" t="s">
        <v>22</v>
      </c>
      <c r="E52" s="7">
        <v>1.072742952</v>
      </c>
      <c r="F52" s="7">
        <v>0.60260622699999999</v>
      </c>
      <c r="G52" s="7">
        <v>1.7801724000000001</v>
      </c>
      <c r="H52" s="7">
        <v>9.1046279999999993E-2</v>
      </c>
    </row>
    <row r="53" spans="4:8" x14ac:dyDescent="0.25">
      <c r="D53" s="7" t="s">
        <v>43</v>
      </c>
      <c r="E53" s="7">
        <v>-0.13837691599999999</v>
      </c>
      <c r="F53" s="7">
        <v>7.7100972000000004E-2</v>
      </c>
      <c r="G53" s="7">
        <v>-1.7947493000000001</v>
      </c>
      <c r="H53" s="7">
        <v>8.8620320000000002E-2</v>
      </c>
    </row>
    <row r="54" spans="4:8" x14ac:dyDescent="0.25">
      <c r="D54" s="7" t="s">
        <v>23</v>
      </c>
      <c r="E54" s="7">
        <v>1.5439100180000001</v>
      </c>
      <c r="F54" s="7">
        <v>0.422239478</v>
      </c>
      <c r="G54" s="7">
        <v>3.6564795999999999</v>
      </c>
      <c r="H54" s="7">
        <v>1.678183E-3</v>
      </c>
    </row>
    <row r="55" spans="4:8" x14ac:dyDescent="0.25">
      <c r="D55" s="7" t="s">
        <v>10</v>
      </c>
      <c r="E55" s="7">
        <v>-0.139994278</v>
      </c>
      <c r="F55" s="7">
        <v>3.2626631000000003E-2</v>
      </c>
      <c r="G55" s="7">
        <v>-4.2907978</v>
      </c>
      <c r="H55" s="7">
        <v>3.9456419999999999E-4</v>
      </c>
    </row>
    <row r="56" spans="4:8" x14ac:dyDescent="0.25">
      <c r="D56" s="24" t="s">
        <v>32</v>
      </c>
      <c r="E56" s="25"/>
      <c r="F56" s="25"/>
      <c r="G56" s="25"/>
      <c r="H56" s="26"/>
    </row>
    <row r="57" spans="4:8" x14ac:dyDescent="0.25">
      <c r="D57" s="27" t="s">
        <v>80</v>
      </c>
      <c r="E57" s="27" t="s">
        <v>76</v>
      </c>
      <c r="F57" s="27" t="s">
        <v>77</v>
      </c>
      <c r="G57" s="27" t="s">
        <v>78</v>
      </c>
      <c r="H57" s="27" t="s">
        <v>79</v>
      </c>
    </row>
    <row r="58" spans="4:8" x14ac:dyDescent="0.25">
      <c r="D58" s="7" t="s">
        <v>41</v>
      </c>
      <c r="E58" s="7">
        <v>12.838220136</v>
      </c>
      <c r="F58" s="7">
        <v>1.8724619840000001</v>
      </c>
      <c r="G58" s="7">
        <v>6.8563314999999996</v>
      </c>
      <c r="H58" s="7">
        <v>1.1584180000000001E-6</v>
      </c>
    </row>
    <row r="59" spans="4:8" x14ac:dyDescent="0.25">
      <c r="D59" s="7" t="s">
        <v>15</v>
      </c>
      <c r="E59" s="7">
        <v>0.73340242</v>
      </c>
      <c r="F59" s="7">
        <v>0.40148113699999999</v>
      </c>
      <c r="G59" s="7">
        <v>1.8267419</v>
      </c>
      <c r="H59" s="7">
        <v>8.2702860000000003E-2</v>
      </c>
    </row>
    <row r="60" spans="4:8" x14ac:dyDescent="0.25">
      <c r="D60" s="7" t="s">
        <v>8</v>
      </c>
      <c r="E60" s="7">
        <v>0.87882424100000001</v>
      </c>
      <c r="F60" s="7">
        <v>0.55630889100000003</v>
      </c>
      <c r="G60" s="7">
        <v>1.5797414999999999</v>
      </c>
      <c r="H60" s="7">
        <v>0.12985240000000001</v>
      </c>
    </row>
    <row r="61" spans="4:8" x14ac:dyDescent="0.25">
      <c r="D61" s="7" t="s">
        <v>9</v>
      </c>
      <c r="E61" s="7">
        <v>1.210444E-3</v>
      </c>
      <c r="F61" s="7">
        <v>1.2713030000000001E-3</v>
      </c>
      <c r="G61" s="7">
        <v>0.95212819999999998</v>
      </c>
      <c r="H61" s="7">
        <v>0.35239799999999999</v>
      </c>
    </row>
    <row r="62" spans="4:8" x14ac:dyDescent="0.25">
      <c r="D62" s="7" t="s">
        <v>16</v>
      </c>
      <c r="E62" s="7">
        <v>1.613597459</v>
      </c>
      <c r="F62" s="7">
        <v>0.380925925</v>
      </c>
      <c r="G62" s="7">
        <v>4.2359875000000002</v>
      </c>
      <c r="H62" s="7">
        <v>4.0515720000000002E-4</v>
      </c>
    </row>
    <row r="63" spans="4:8" x14ac:dyDescent="0.25">
      <c r="D63" s="7" t="s">
        <v>21</v>
      </c>
      <c r="E63" s="7">
        <v>0.95542056099999995</v>
      </c>
      <c r="F63" s="7">
        <v>0.40596859000000002</v>
      </c>
      <c r="G63" s="7">
        <v>2.3534347000000002</v>
      </c>
      <c r="H63" s="7">
        <v>2.8942389999999998E-2</v>
      </c>
    </row>
    <row r="64" spans="4:8" x14ac:dyDescent="0.25">
      <c r="D64" s="7" t="s">
        <v>22</v>
      </c>
      <c r="E64" s="7">
        <v>1.106120142</v>
      </c>
      <c r="F64" s="7">
        <v>0.59273124099999996</v>
      </c>
      <c r="G64" s="7">
        <v>1.8661411000000001</v>
      </c>
      <c r="H64" s="7">
        <v>7.6756000000000005E-2</v>
      </c>
    </row>
    <row r="65" spans="4:8" x14ac:dyDescent="0.25">
      <c r="D65" s="7" t="s">
        <v>43</v>
      </c>
      <c r="E65" s="7">
        <v>-0.14102134799999999</v>
      </c>
      <c r="F65" s="7">
        <v>7.5989161E-2</v>
      </c>
      <c r="G65" s="7">
        <v>-1.8558087000000001</v>
      </c>
      <c r="H65" s="7">
        <v>7.8278159999999999E-2</v>
      </c>
    </row>
    <row r="66" spans="4:8" x14ac:dyDescent="0.25">
      <c r="D66" s="7" t="s">
        <v>23</v>
      </c>
      <c r="E66" s="7">
        <v>1.5628975919999999</v>
      </c>
      <c r="F66" s="7">
        <v>0.41577952299999998</v>
      </c>
      <c r="G66" s="7">
        <v>3.7589576</v>
      </c>
      <c r="H66" s="7">
        <v>1.2352960000000001E-3</v>
      </c>
    </row>
    <row r="67" spans="4:8" x14ac:dyDescent="0.25">
      <c r="D67" s="7" t="s">
        <v>10</v>
      </c>
      <c r="E67" s="7">
        <v>-0.14095001400000001</v>
      </c>
      <c r="F67" s="7">
        <v>3.2166935000000001E-2</v>
      </c>
      <c r="G67" s="7">
        <v>-4.3818291</v>
      </c>
      <c r="H67" s="7">
        <v>2.8818330000000001E-4</v>
      </c>
    </row>
    <row r="68" spans="4:8" x14ac:dyDescent="0.25">
      <c r="D68" s="24" t="s">
        <v>82</v>
      </c>
      <c r="E68" s="25"/>
      <c r="F68" s="25"/>
      <c r="G68" s="25"/>
      <c r="H68" s="26"/>
    </row>
    <row r="69" spans="4:8" x14ac:dyDescent="0.25">
      <c r="D69" s="27" t="s">
        <v>80</v>
      </c>
      <c r="E69" s="27" t="s">
        <v>76</v>
      </c>
      <c r="F69" s="27" t="s">
        <v>77</v>
      </c>
      <c r="G69" s="27" t="s">
        <v>78</v>
      </c>
      <c r="H69" s="27" t="s">
        <v>79</v>
      </c>
    </row>
    <row r="70" spans="4:8" x14ac:dyDescent="0.25">
      <c r="D70" s="7" t="s">
        <v>41</v>
      </c>
      <c r="E70" s="7">
        <v>13.831555399999999</v>
      </c>
      <c r="F70" s="7">
        <v>1.55142647</v>
      </c>
      <c r="G70" s="7">
        <v>8.9153789999999997</v>
      </c>
      <c r="H70" s="7">
        <v>1.389925E-8</v>
      </c>
    </row>
    <row r="71" spans="4:8" x14ac:dyDescent="0.25">
      <c r="D71" s="7" t="s">
        <v>15</v>
      </c>
      <c r="E71" s="7">
        <v>0.70772279999999999</v>
      </c>
      <c r="F71" s="7">
        <v>0.39968189999999998</v>
      </c>
      <c r="G71" s="7">
        <v>1.770715</v>
      </c>
      <c r="H71" s="7">
        <v>9.1124079999999996E-2</v>
      </c>
    </row>
    <row r="72" spans="4:8" x14ac:dyDescent="0.25">
      <c r="D72" s="7" t="s">
        <v>8</v>
      </c>
      <c r="E72" s="7">
        <v>0.74187150000000002</v>
      </c>
      <c r="F72" s="7">
        <v>0.53619483999999995</v>
      </c>
      <c r="G72" s="7">
        <v>1.383586</v>
      </c>
      <c r="H72" s="7">
        <v>0.1810175</v>
      </c>
    </row>
    <row r="73" spans="4:8" x14ac:dyDescent="0.25">
      <c r="D73" s="7" t="s">
        <v>16</v>
      </c>
      <c r="E73" s="7">
        <v>1.6530107999999999</v>
      </c>
      <c r="F73" s="7">
        <v>0.37782655999999998</v>
      </c>
      <c r="G73" s="7">
        <v>4.3750520000000002</v>
      </c>
      <c r="H73" s="7">
        <v>2.6500729999999999E-4</v>
      </c>
    </row>
    <row r="74" spans="4:8" x14ac:dyDescent="0.25">
      <c r="D74" s="7" t="s">
        <v>21</v>
      </c>
      <c r="E74" s="7">
        <v>0.87325529999999996</v>
      </c>
      <c r="F74" s="7">
        <v>0.39580695999999999</v>
      </c>
      <c r="G74" s="7">
        <v>2.2062659999999998</v>
      </c>
      <c r="H74" s="7">
        <v>3.8638440000000003E-2</v>
      </c>
    </row>
    <row r="75" spans="4:8" x14ac:dyDescent="0.25">
      <c r="D75" s="7" t="s">
        <v>22</v>
      </c>
      <c r="E75" s="7">
        <v>1.1320071</v>
      </c>
      <c r="F75" s="7">
        <v>0.59078841000000004</v>
      </c>
      <c r="G75" s="7">
        <v>1.916096</v>
      </c>
      <c r="H75" s="7">
        <v>6.906574E-2</v>
      </c>
    </row>
    <row r="76" spans="4:8" x14ac:dyDescent="0.25">
      <c r="D76" s="7" t="s">
        <v>43</v>
      </c>
      <c r="E76" s="7">
        <v>-0.17649029999999999</v>
      </c>
      <c r="F76" s="7">
        <v>6.6084050000000005E-2</v>
      </c>
      <c r="G76" s="7">
        <v>-2.6706940000000001</v>
      </c>
      <c r="H76" s="7">
        <v>1.430853E-2</v>
      </c>
    </row>
    <row r="77" spans="4:8" x14ac:dyDescent="0.25">
      <c r="D77" s="7" t="s">
        <v>23</v>
      </c>
      <c r="E77" s="7">
        <v>1.4562743</v>
      </c>
      <c r="F77" s="7">
        <v>0.39952304</v>
      </c>
      <c r="G77" s="7">
        <v>3.645032</v>
      </c>
      <c r="H77" s="7">
        <v>1.5131700000000001E-3</v>
      </c>
    </row>
    <row r="78" spans="4:8" x14ac:dyDescent="0.25">
      <c r="D78" s="7" t="s">
        <v>10</v>
      </c>
      <c r="E78" s="7">
        <v>-0.13316939999999999</v>
      </c>
      <c r="F78" s="7">
        <v>3.104233E-2</v>
      </c>
      <c r="G78" s="7">
        <v>-4.28993</v>
      </c>
      <c r="H78" s="7">
        <v>3.2482159999999997E-4</v>
      </c>
    </row>
  </sheetData>
  <mergeCells count="5">
    <mergeCell ref="D14:H14"/>
    <mergeCell ref="D29:H29"/>
    <mergeCell ref="D43:H43"/>
    <mergeCell ref="D56:H56"/>
    <mergeCell ref="D68:H6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81907-05F3-4BEA-934A-5E0FCD3F0908}">
  <dimension ref="B4:V33"/>
  <sheetViews>
    <sheetView workbookViewId="0">
      <selection activeCell="B19" sqref="B19:H33"/>
    </sheetView>
  </sheetViews>
  <sheetFormatPr defaultRowHeight="15" x14ac:dyDescent="0.25"/>
  <cols>
    <col min="2" max="2" width="10.7109375" bestFit="1" customWidth="1"/>
    <col min="3" max="3" width="14.85546875" bestFit="1" customWidth="1"/>
    <col min="4" max="4" width="20.140625" bestFit="1" customWidth="1"/>
    <col min="5" max="5" width="12.85546875" bestFit="1" customWidth="1"/>
    <col min="6" max="6" width="11.7109375" bestFit="1" customWidth="1"/>
    <col min="7" max="7" width="9.85546875" bestFit="1" customWidth="1"/>
    <col min="8" max="8" width="6.5703125" bestFit="1" customWidth="1"/>
    <col min="11" max="11" width="2.140625" bestFit="1" customWidth="1"/>
    <col min="12" max="12" width="10" bestFit="1" customWidth="1"/>
    <col min="13" max="13" width="3" bestFit="1" customWidth="1"/>
    <col min="14" max="14" width="9" bestFit="1" customWidth="1"/>
    <col min="15" max="15" width="8.42578125" bestFit="1" customWidth="1"/>
    <col min="16" max="16" width="10.85546875" bestFit="1" customWidth="1"/>
    <col min="17" max="17" width="20" bestFit="1" customWidth="1"/>
    <col min="18" max="18" width="11.7109375" bestFit="1" customWidth="1"/>
    <col min="19" max="19" width="11.5703125" bestFit="1" customWidth="1"/>
    <col min="20" max="20" width="12" bestFit="1" customWidth="1"/>
    <col min="21" max="21" width="10" bestFit="1" customWidth="1"/>
    <col min="22" max="22" width="9" bestFit="1" customWidth="1"/>
  </cols>
  <sheetData>
    <row r="4" spans="11:22" x14ac:dyDescent="0.25">
      <c r="K4" s="8"/>
      <c r="L4" t="s">
        <v>90</v>
      </c>
      <c r="M4" t="s">
        <v>58</v>
      </c>
      <c r="N4" t="s">
        <v>91</v>
      </c>
    </row>
    <row r="5" spans="11:22" x14ac:dyDescent="0.25">
      <c r="K5" s="8">
        <v>1</v>
      </c>
      <c r="L5">
        <v>127.89839000000001</v>
      </c>
      <c r="M5">
        <v>7</v>
      </c>
      <c r="N5">
        <v>33.04815</v>
      </c>
    </row>
    <row r="6" spans="11:22" x14ac:dyDescent="0.25">
      <c r="K6" s="8">
        <v>2</v>
      </c>
      <c r="L6">
        <v>12.16305</v>
      </c>
      <c r="M6">
        <v>22</v>
      </c>
      <c r="N6">
        <v>33.04815</v>
      </c>
    </row>
    <row r="7" spans="11:22" x14ac:dyDescent="0.25">
      <c r="K7" s="9">
        <v>3</v>
      </c>
      <c r="L7">
        <v>140.06144</v>
      </c>
      <c r="M7">
        <v>29</v>
      </c>
      <c r="N7">
        <v>33.04815</v>
      </c>
    </row>
    <row r="15" spans="11:22" x14ac:dyDescent="0.25">
      <c r="Q15" t="s">
        <v>35</v>
      </c>
      <c r="R15" t="s">
        <v>36</v>
      </c>
      <c r="S15" t="s">
        <v>37</v>
      </c>
      <c r="T15" t="s">
        <v>38</v>
      </c>
      <c r="U15" t="s">
        <v>39</v>
      </c>
      <c r="V15" t="s">
        <v>40</v>
      </c>
    </row>
    <row r="16" spans="11:22" x14ac:dyDescent="0.25">
      <c r="O16" t="s">
        <v>34</v>
      </c>
    </row>
    <row r="18" spans="2:15" x14ac:dyDescent="0.25">
      <c r="O18">
        <v>1</v>
      </c>
    </row>
    <row r="19" spans="2:15" x14ac:dyDescent="0.25">
      <c r="C19" s="17" t="s">
        <v>61</v>
      </c>
      <c r="D19" s="17"/>
      <c r="E19" s="17"/>
      <c r="F19" s="17"/>
      <c r="O19">
        <v>2</v>
      </c>
    </row>
    <row r="20" spans="2:15" x14ac:dyDescent="0.25">
      <c r="B20" s="1"/>
      <c r="C20" s="6" t="s">
        <v>57</v>
      </c>
      <c r="D20" s="6" t="s">
        <v>58</v>
      </c>
      <c r="E20" s="6" t="s">
        <v>59</v>
      </c>
      <c r="F20" s="6" t="s">
        <v>27</v>
      </c>
      <c r="G20" s="6" t="s">
        <v>60</v>
      </c>
      <c r="O20">
        <v>3</v>
      </c>
    </row>
    <row r="21" spans="2:15" x14ac:dyDescent="0.25">
      <c r="B21" s="2" t="s">
        <v>55</v>
      </c>
      <c r="C21" s="15">
        <f>L5</f>
        <v>127.89839000000001</v>
      </c>
      <c r="D21" s="16">
        <f>M5</f>
        <v>7</v>
      </c>
      <c r="E21" s="15">
        <f>C21/D21</f>
        <v>18.271198571428574</v>
      </c>
      <c r="F21" s="15">
        <f>N5</f>
        <v>33.04815</v>
      </c>
      <c r="G21" s="15">
        <v>0</v>
      </c>
      <c r="O21">
        <v>4</v>
      </c>
    </row>
    <row r="22" spans="2:15" x14ac:dyDescent="0.25">
      <c r="B22" s="2" t="s">
        <v>54</v>
      </c>
      <c r="C22" s="15">
        <f>L6</f>
        <v>12.16305</v>
      </c>
      <c r="D22" s="16">
        <f>M6</f>
        <v>22</v>
      </c>
      <c r="E22" s="15">
        <f>C22/D22</f>
        <v>0.55286590909090905</v>
      </c>
      <c r="F22" s="15"/>
      <c r="G22" s="15"/>
      <c r="O22">
        <v>5</v>
      </c>
    </row>
    <row r="23" spans="2:15" x14ac:dyDescent="0.25">
      <c r="B23" s="2" t="s">
        <v>56</v>
      </c>
      <c r="C23" s="15">
        <f>SUM(C21:C22)</f>
        <v>140.06144</v>
      </c>
      <c r="D23" s="16">
        <f>SUM(D21:D22)</f>
        <v>29</v>
      </c>
      <c r="E23" s="3"/>
      <c r="F23" s="3"/>
      <c r="G23" s="3"/>
      <c r="O23">
        <v>6</v>
      </c>
    </row>
    <row r="24" spans="2:15" x14ac:dyDescent="0.25">
      <c r="C24" s="18" t="s">
        <v>81</v>
      </c>
      <c r="D24" s="18"/>
      <c r="E24" s="18"/>
      <c r="F24" s="18"/>
      <c r="O24">
        <v>7</v>
      </c>
    </row>
    <row r="25" spans="2:15" x14ac:dyDescent="0.25">
      <c r="B25" s="1"/>
      <c r="C25" s="27" t="s">
        <v>81</v>
      </c>
      <c r="D25" s="27" t="s">
        <v>36</v>
      </c>
      <c r="E25" s="27" t="s">
        <v>37</v>
      </c>
      <c r="F25" s="27" t="s">
        <v>38</v>
      </c>
      <c r="G25" s="27" t="s">
        <v>39</v>
      </c>
      <c r="H25" s="27" t="s">
        <v>40</v>
      </c>
      <c r="O25">
        <v>8</v>
      </c>
    </row>
    <row r="26" spans="2:15" x14ac:dyDescent="0.25">
      <c r="B26" s="2" t="s">
        <v>41</v>
      </c>
      <c r="C26" s="28">
        <v>14.3235826</v>
      </c>
      <c r="D26" s="28">
        <v>6.5176549899999996</v>
      </c>
      <c r="E26" s="28">
        <v>9.2939080000000001</v>
      </c>
      <c r="F26" s="28">
        <v>4.4969279999999999E-9</v>
      </c>
      <c r="G26" s="28"/>
      <c r="H26" s="28"/>
    </row>
    <row r="27" spans="2:15" x14ac:dyDescent="0.25">
      <c r="B27" s="2" t="s">
        <v>15</v>
      </c>
      <c r="C27" s="28">
        <v>0.69352769999999997</v>
      </c>
      <c r="D27" s="28">
        <v>0.31557565999999998</v>
      </c>
      <c r="E27" s="28">
        <v>1.7007890000000001</v>
      </c>
      <c r="F27" s="28">
        <v>0.103077</v>
      </c>
      <c r="G27" s="28">
        <v>0.45135890000000001</v>
      </c>
      <c r="H27" s="28">
        <v>2.2155320000000001</v>
      </c>
    </row>
    <row r="28" spans="2:15" x14ac:dyDescent="0.25">
      <c r="B28" s="2" t="s">
        <v>16</v>
      </c>
      <c r="C28" s="28">
        <v>1.5829496000000001</v>
      </c>
      <c r="D28" s="28">
        <v>0.72028904000000005</v>
      </c>
      <c r="E28" s="28">
        <v>4.142557</v>
      </c>
      <c r="F28" s="28">
        <v>4.2595760000000002E-4</v>
      </c>
      <c r="G28" s="28">
        <v>0.78882620000000003</v>
      </c>
      <c r="H28" s="28">
        <v>1.267706</v>
      </c>
    </row>
    <row r="29" spans="2:15" x14ac:dyDescent="0.25">
      <c r="B29" s="2" t="s">
        <v>21</v>
      </c>
      <c r="C29" s="28">
        <v>1.0271220999999999</v>
      </c>
      <c r="D29" s="28">
        <v>0.46737103000000002</v>
      </c>
      <c r="E29" s="28">
        <v>2.649435</v>
      </c>
      <c r="F29" s="28">
        <v>1.4644839999999999E-2</v>
      </c>
      <c r="G29" s="28">
        <v>0.68545270000000003</v>
      </c>
      <c r="H29" s="28">
        <v>1.45889</v>
      </c>
    </row>
    <row r="30" spans="2:15" x14ac:dyDescent="0.25">
      <c r="B30" s="2" t="s">
        <v>22</v>
      </c>
      <c r="C30" s="28">
        <v>1.0870111</v>
      </c>
      <c r="D30" s="28">
        <v>0.49462232</v>
      </c>
      <c r="E30" s="28">
        <v>1.8055890000000001</v>
      </c>
      <c r="F30" s="28">
        <v>8.468618E-2</v>
      </c>
      <c r="G30" s="28">
        <v>0.81718999999999997</v>
      </c>
      <c r="H30" s="28">
        <v>1.223706</v>
      </c>
    </row>
    <row r="31" spans="2:15" x14ac:dyDescent="0.25">
      <c r="B31" s="2" t="s">
        <v>43</v>
      </c>
      <c r="C31" s="28">
        <v>-0.18837699999999999</v>
      </c>
      <c r="D31" s="28">
        <v>-8.5717139999999997E-2</v>
      </c>
      <c r="E31" s="28">
        <v>-2.8170250000000001</v>
      </c>
      <c r="F31" s="28">
        <v>1.003947E-2</v>
      </c>
      <c r="G31" s="28">
        <v>0.68878050000000002</v>
      </c>
      <c r="H31" s="28">
        <v>1.4518409999999999</v>
      </c>
    </row>
    <row r="32" spans="2:15" x14ac:dyDescent="0.25">
      <c r="B32" s="2" t="s">
        <v>23</v>
      </c>
      <c r="C32" s="28">
        <v>1.5426622999999999</v>
      </c>
      <c r="D32" s="28">
        <v>0.70195711000000005</v>
      </c>
      <c r="E32" s="28">
        <v>3.830508</v>
      </c>
      <c r="F32" s="28">
        <v>9.1105009999999998E-4</v>
      </c>
      <c r="G32" s="28">
        <v>0.4544955</v>
      </c>
      <c r="H32" s="28">
        <v>2.2002419999999998</v>
      </c>
    </row>
    <row r="33" spans="2:8" x14ac:dyDescent="0.25">
      <c r="B33" s="2" t="s">
        <v>10</v>
      </c>
      <c r="C33" s="28">
        <v>-0.124581</v>
      </c>
      <c r="D33" s="28">
        <v>-5.668807E-2</v>
      </c>
      <c r="E33" s="28">
        <v>-4.013439</v>
      </c>
      <c r="F33" s="28">
        <v>5.8370459999999998E-4</v>
      </c>
      <c r="G33" s="28">
        <v>0.43162289999999998</v>
      </c>
      <c r="H33" s="28">
        <v>2.316837</v>
      </c>
    </row>
  </sheetData>
  <mergeCells count="2">
    <mergeCell ref="C24:F24"/>
    <mergeCell ref="C19:F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9E0BE-29A9-417A-9BDF-50A8E78A7E70}">
  <dimension ref="C3:L26"/>
  <sheetViews>
    <sheetView tabSelected="1" workbookViewId="0">
      <selection activeCell="O18" sqref="O18:P18"/>
    </sheetView>
  </sheetViews>
  <sheetFormatPr defaultRowHeight="15" x14ac:dyDescent="0.25"/>
  <cols>
    <col min="3" max="3" width="10.140625" bestFit="1" customWidth="1"/>
    <col min="4" max="4" width="10" bestFit="1" customWidth="1"/>
    <col min="5" max="5" width="12.42578125" bestFit="1" customWidth="1"/>
    <col min="6" max="6" width="14.7109375" bestFit="1" customWidth="1"/>
    <col min="7" max="7" width="12" bestFit="1" customWidth="1"/>
    <col min="12" max="12" width="16" bestFit="1" customWidth="1"/>
  </cols>
  <sheetData>
    <row r="3" spans="3:12" x14ac:dyDescent="0.25">
      <c r="C3" s="1"/>
      <c r="D3" s="1"/>
      <c r="E3" s="1" t="s">
        <v>92</v>
      </c>
      <c r="F3" s="1" t="s">
        <v>93</v>
      </c>
      <c r="G3" s="1"/>
    </row>
    <row r="4" spans="3:12" x14ac:dyDescent="0.25">
      <c r="C4" s="20" t="s">
        <v>83</v>
      </c>
      <c r="D4" s="21"/>
      <c r="E4" s="3">
        <v>1.00434541</v>
      </c>
      <c r="F4" s="3">
        <v>0.99972127</v>
      </c>
      <c r="G4" s="3">
        <v>1.00434541</v>
      </c>
    </row>
    <row r="5" spans="3:12" x14ac:dyDescent="0.25">
      <c r="C5" s="20" t="s">
        <v>84</v>
      </c>
      <c r="D5" s="21"/>
      <c r="E5" s="3">
        <v>1.0029265999999999</v>
      </c>
      <c r="F5" s="3">
        <v>0.99723309999999998</v>
      </c>
      <c r="G5" s="3">
        <v>1.0029265999999999</v>
      </c>
    </row>
    <row r="6" spans="3:12" x14ac:dyDescent="0.25">
      <c r="C6" s="20" t="s">
        <v>85</v>
      </c>
      <c r="D6" s="21"/>
      <c r="E6" s="3">
        <v>6.6435049999999995E-2</v>
      </c>
      <c r="F6" s="3">
        <v>6.360159E-2</v>
      </c>
      <c r="G6" s="3">
        <v>6.6435049999999995E-2</v>
      </c>
    </row>
    <row r="7" spans="3:12" x14ac:dyDescent="0.25">
      <c r="C7" s="20" t="s">
        <v>3</v>
      </c>
      <c r="D7" s="21"/>
      <c r="E7" s="33">
        <v>6.6147609999999996E-2</v>
      </c>
      <c r="F7" s="33">
        <v>6.3619319999999993E-2</v>
      </c>
      <c r="G7" s="33">
        <v>6.6147609999999996E-2</v>
      </c>
      <c r="L7" s="8" t="s">
        <v>83</v>
      </c>
    </row>
    <row r="8" spans="3:12" x14ac:dyDescent="0.25">
      <c r="C8" s="30" t="s">
        <v>94</v>
      </c>
      <c r="D8" s="29">
        <v>0.1</v>
      </c>
      <c r="E8" s="3">
        <v>0.92554528999999996</v>
      </c>
      <c r="F8" s="3">
        <v>0.93928964000000004</v>
      </c>
      <c r="G8" s="3">
        <v>0.92554528999999996</v>
      </c>
      <c r="L8" s="8" t="s">
        <v>84</v>
      </c>
    </row>
    <row r="9" spans="3:12" x14ac:dyDescent="0.25">
      <c r="C9" s="31"/>
      <c r="D9" s="29">
        <v>0.25</v>
      </c>
      <c r="E9" s="3">
        <v>0.95225886999999998</v>
      </c>
      <c r="F9" s="3">
        <v>0.95891512999999995</v>
      </c>
      <c r="G9" s="3">
        <v>0.95225886999999998</v>
      </c>
      <c r="L9" s="8" t="s">
        <v>85</v>
      </c>
    </row>
    <row r="10" spans="3:12" x14ac:dyDescent="0.25">
      <c r="C10" s="31"/>
      <c r="D10" s="29">
        <v>0.75</v>
      </c>
      <c r="E10" s="3">
        <v>1.04284526</v>
      </c>
      <c r="F10" s="3">
        <v>1.0501347999999999</v>
      </c>
      <c r="G10" s="3">
        <v>1.04284526</v>
      </c>
      <c r="L10" s="8" t="s">
        <v>3</v>
      </c>
    </row>
    <row r="11" spans="3:12" x14ac:dyDescent="0.25">
      <c r="C11" s="32"/>
      <c r="D11" s="29">
        <v>0.9</v>
      </c>
      <c r="E11" s="3">
        <v>1.06463829</v>
      </c>
      <c r="F11" s="3">
        <v>1.08045003</v>
      </c>
      <c r="G11" s="3">
        <v>1.06463829</v>
      </c>
      <c r="L11" s="8" t="s">
        <v>86</v>
      </c>
    </row>
    <row r="12" spans="3:12" x14ac:dyDescent="0.25">
      <c r="L12" s="8" t="s">
        <v>87</v>
      </c>
    </row>
    <row r="13" spans="3:12" x14ac:dyDescent="0.25">
      <c r="L13" s="8" t="s">
        <v>88</v>
      </c>
    </row>
    <row r="14" spans="3:12" x14ac:dyDescent="0.25">
      <c r="L14" s="9" t="s">
        <v>89</v>
      </c>
    </row>
    <row r="20" spans="3:7" x14ac:dyDescent="0.25">
      <c r="C20" s="8"/>
      <c r="D20" s="1" t="s">
        <v>95</v>
      </c>
      <c r="E20" s="1" t="s">
        <v>58</v>
      </c>
      <c r="F20" s="1" t="s">
        <v>96</v>
      </c>
      <c r="G20" s="1" t="s">
        <v>97</v>
      </c>
    </row>
    <row r="21" spans="3:7" x14ac:dyDescent="0.25">
      <c r="C21" s="8">
        <v>1</v>
      </c>
      <c r="D21" s="1" t="s">
        <v>98</v>
      </c>
      <c r="E21" s="1">
        <v>3</v>
      </c>
      <c r="F21" s="4">
        <v>0.80006869999999997</v>
      </c>
      <c r="G21" s="4">
        <v>1.004889913</v>
      </c>
    </row>
    <row r="22" spans="3:7" x14ac:dyDescent="0.25">
      <c r="C22" s="8">
        <v>2</v>
      </c>
      <c r="D22" s="1" t="s">
        <v>99</v>
      </c>
      <c r="E22" s="1">
        <v>2</v>
      </c>
      <c r="F22" s="4">
        <v>0.98369810000000002</v>
      </c>
      <c r="G22" s="4">
        <v>3.2872503999999997E-2</v>
      </c>
    </row>
    <row r="23" spans="3:7" x14ac:dyDescent="0.25">
      <c r="C23" s="8">
        <v>3</v>
      </c>
      <c r="D23" s="1" t="s">
        <v>100</v>
      </c>
      <c r="E23" s="1">
        <v>2</v>
      </c>
      <c r="F23" s="4">
        <v>0.86000509999999997</v>
      </c>
      <c r="G23" s="4">
        <v>0.30163384999999998</v>
      </c>
    </row>
    <row r="24" spans="3:7" x14ac:dyDescent="0.25">
      <c r="C24" s="8">
        <v>4</v>
      </c>
      <c r="D24" s="1" t="s">
        <v>23</v>
      </c>
      <c r="E24" s="1">
        <v>1</v>
      </c>
      <c r="F24" s="4">
        <v>0.91741130000000004</v>
      </c>
      <c r="G24" s="4">
        <v>1.0752688E-2</v>
      </c>
    </row>
    <row r="25" spans="3:7" x14ac:dyDescent="0.25">
      <c r="C25" s="8">
        <v>5</v>
      </c>
      <c r="D25" s="1" t="s">
        <v>15</v>
      </c>
      <c r="E25" s="1">
        <v>1</v>
      </c>
      <c r="F25" s="4">
        <v>0.9499436</v>
      </c>
      <c r="G25" s="4">
        <v>3.9410310000000002E-3</v>
      </c>
    </row>
    <row r="26" spans="3:7" x14ac:dyDescent="0.25">
      <c r="C26" s="9">
        <v>6</v>
      </c>
      <c r="D26" s="1" t="s">
        <v>43</v>
      </c>
      <c r="E26" s="1">
        <v>6</v>
      </c>
      <c r="F26" s="4">
        <v>0.8223821</v>
      </c>
      <c r="G26" s="4">
        <v>2.8911290319999998</v>
      </c>
    </row>
  </sheetData>
  <mergeCells count="5">
    <mergeCell ref="C8:C11"/>
    <mergeCell ref="C4:D4"/>
    <mergeCell ref="C5:D5"/>
    <mergeCell ref="C6:D6"/>
    <mergeCell ref="C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 for Dependent Variable</vt:lpstr>
      <vt:lpstr>Correlation between Variables</vt:lpstr>
      <vt:lpstr>Comparing the Models</vt:lpstr>
      <vt:lpstr>Summary for Model 3</vt:lpstr>
      <vt:lpstr>Model 3 After UND_PARK</vt:lpstr>
      <vt:lpstr>Stepwise for Model 3</vt:lpstr>
      <vt:lpstr>Final Model</vt:lpstr>
      <vt:lpstr>Model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 Helisaz</dc:creator>
  <cp:lastModifiedBy>Helisaz, Hamed</cp:lastModifiedBy>
  <dcterms:created xsi:type="dcterms:W3CDTF">2015-06-05T18:17:20Z</dcterms:created>
  <dcterms:modified xsi:type="dcterms:W3CDTF">2025-04-07T02:02:17Z</dcterms:modified>
</cp:coreProperties>
</file>