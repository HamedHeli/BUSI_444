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hamed_helisaz_ubc_ca/Documents/Diplima in Land and Urban Economics/BUSI 444/"/>
    </mc:Choice>
  </mc:AlternateContent>
  <xr:revisionPtr revIDLastSave="867" documentId="8_{2DD2FE9C-4D50-48B9-81C1-A37E9C564977}" xr6:coauthVersionLast="47" xr6:coauthVersionMax="47" xr10:uidLastSave="{953369B9-11BA-414D-AA73-F7C6B5E9FEC0}"/>
  <bookViews>
    <workbookView xWindow="-108" yWindow="-108" windowWidth="23256" windowHeight="13896" firstSheet="4" activeTab="8" xr2:uid="{2F645B72-5157-4D09-A8C6-A724C7C540C1}"/>
  </bookViews>
  <sheets>
    <sheet name="Correlation with Response" sheetId="1" r:id="rId1"/>
    <sheet name="Descriptive Analysis" sheetId="4" r:id="rId2"/>
    <sheet name="Multicollinearity" sheetId="2" r:id="rId3"/>
    <sheet name="Saleprice in neigh" sheetId="3" r:id="rId4"/>
    <sheet name="Included For Modeling" sheetId="5" r:id="rId5"/>
    <sheet name="Variable Groups" sheetId="6" r:id="rId6"/>
    <sheet name="StepWise Model" sheetId="7" r:id="rId7"/>
    <sheet name="Model Testing" sheetId="8" r:id="rId8"/>
    <sheet name="ASR Modeling" sheetId="9" r:id="rId9"/>
  </sheets>
  <definedNames>
    <definedName name="_xlnm._FilterDatabase" localSheetId="0" hidden="1">'Correlation with Response'!$A$1:$AG$32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7" l="1"/>
  <c r="N16" i="7"/>
</calcChain>
</file>

<file path=xl/sharedStrings.xml><?xml version="1.0" encoding="utf-8"?>
<sst xmlns="http://schemas.openxmlformats.org/spreadsheetml/2006/main" count="368" uniqueCount="113">
  <si>
    <t>bedrooms</t>
  </si>
  <si>
    <t>baths</t>
  </si>
  <si>
    <t>familyrm</t>
  </si>
  <si>
    <t>fireplcs</t>
  </si>
  <si>
    <t>flrarea1_adjusted</t>
  </si>
  <si>
    <t>flrarea2_adjusted</t>
  </si>
  <si>
    <t>bsmtfin_adjusted</t>
  </si>
  <si>
    <t>crwlarea</t>
  </si>
  <si>
    <t>bsmtarea</t>
  </si>
  <si>
    <t>unfinbmt</t>
  </si>
  <si>
    <t>area1_2_adjusted</t>
  </si>
  <si>
    <t>totarea_adjusted</t>
  </si>
  <si>
    <t>baseste</t>
  </si>
  <si>
    <t>heattype</t>
  </si>
  <si>
    <t>splitlvl</t>
  </si>
  <si>
    <t>lot_size_adjusted</t>
  </si>
  <si>
    <t>corner</t>
  </si>
  <si>
    <t>wooded</t>
  </si>
  <si>
    <t>pie_shpe</t>
  </si>
  <si>
    <t>slope</t>
  </si>
  <si>
    <t>abv_road</t>
  </si>
  <si>
    <t>culdesac</t>
  </si>
  <si>
    <t>effage</t>
  </si>
  <si>
    <t>conduit</t>
  </si>
  <si>
    <t>alley</t>
  </si>
  <si>
    <t>sidewalk</t>
  </si>
  <si>
    <t>gar_area_adjusted</t>
  </si>
  <si>
    <t>garagefl</t>
  </si>
  <si>
    <t>cp_area_adjusted</t>
  </si>
  <si>
    <t>carptfl</t>
  </si>
  <si>
    <t>saleprice_time_adjusted</t>
  </si>
  <si>
    <t>flag</t>
  </si>
  <si>
    <t>neigh</t>
  </si>
  <si>
    <t>N</t>
  </si>
  <si>
    <t>Mean</t>
  </si>
  <si>
    <t>std.Deviation</t>
  </si>
  <si>
    <t>Min</t>
  </si>
  <si>
    <t>Max</t>
  </si>
  <si>
    <t>Median</t>
  </si>
  <si>
    <t>pie_shape</t>
  </si>
  <si>
    <t>sidewal</t>
  </si>
  <si>
    <t>bath</t>
  </si>
  <si>
    <t>Include</t>
  </si>
  <si>
    <t>Exclude</t>
  </si>
  <si>
    <t xml:space="preserve"> bsmtarea</t>
  </si>
  <si>
    <t xml:space="preserve"> area1_2_adjusted</t>
  </si>
  <si>
    <t xml:space="preserve"> totarea_adjusted</t>
  </si>
  <si>
    <t xml:space="preserve"> alley</t>
  </si>
  <si>
    <t xml:space="preserve">Group </t>
  </si>
  <si>
    <t>Adjusted_R2</t>
  </si>
  <si>
    <t>SSE</t>
  </si>
  <si>
    <t>F_Statistic</t>
  </si>
  <si>
    <t>Significance</t>
  </si>
  <si>
    <t>Group Number</t>
  </si>
  <si>
    <t>Variable</t>
  </si>
  <si>
    <t>Coefficient</t>
  </si>
  <si>
    <t>Standard_Coefficient</t>
  </si>
  <si>
    <t>t_Statistic</t>
  </si>
  <si>
    <t>VIF</t>
  </si>
  <si>
    <t>(Intercept)</t>
  </si>
  <si>
    <t>NA</t>
  </si>
  <si>
    <t>Model 4</t>
  </si>
  <si>
    <t>Model</t>
  </si>
  <si>
    <t>R</t>
  </si>
  <si>
    <t>R Squared</t>
  </si>
  <si>
    <t>Adjusted R Squared</t>
  </si>
  <si>
    <t>Std. Error of the Estimate</t>
  </si>
  <si>
    <t>F Statistic</t>
  </si>
  <si>
    <t>Model1</t>
  </si>
  <si>
    <t>Model2</t>
  </si>
  <si>
    <t>Model3</t>
  </si>
  <si>
    <t>Model4</t>
  </si>
  <si>
    <t>Model5</t>
  </si>
  <si>
    <t>Predictors:</t>
  </si>
  <si>
    <t>Model 7</t>
  </si>
  <si>
    <t>df</t>
  </si>
  <si>
    <t>Mean SSE</t>
  </si>
  <si>
    <t>F</t>
  </si>
  <si>
    <t>Sig</t>
  </si>
  <si>
    <t>Regression</t>
  </si>
  <si>
    <t>Residuals</t>
  </si>
  <si>
    <t>Total</t>
  </si>
  <si>
    <t>familyrm, flrarea2_adjusted, lot_size_adjusted, fireplcs, baseste, pie_shpe, heattype, effage, culdesac, splitlvl, sidewalk, garagefl, area1_2_adjusted, bsmtfin_adjusted, crwlarea, conduit, bedrooms, baths</t>
  </si>
  <si>
    <t>familyrm, flrarea2_adjusted, lot_size_adjusted, fireplcs, baseste, pie_shpe, effage, culdesac, splitlvl, sidewalk, garagefl, area1_2_adjusted, bsmtfin_adjusted, crwlarea, conduit, bedrooms, baths</t>
  </si>
  <si>
    <t>familyrm, lot_size_adjusted, fireplcs, baseste, pie_shpe, effage, culdesac, splitlvl, sidewalk, garagefl, area1_2_adjusted, bsmtfin_adjusted, crwlarea, conduit, bedrooms, baths</t>
  </si>
  <si>
    <t>familyrm, lot_size_adjusted, fireplcs, baseste, pie_shpe, effage, splitlvl, sidewalk, garagefl, area1_2_adjusted, bsmtfin_adjusted, crwlarea, conduit, bedrooms, baths</t>
  </si>
  <si>
    <t>familyrm, lot_size_adjusted, fireplcs, baseste, pie_shpe, effage, splitlvl, sidewalk, garagefl, area1_2_adjusted, bsmtfin_adjusted, crwlarea, conduit, baths</t>
  </si>
  <si>
    <t>Metric</t>
  </si>
  <si>
    <t>Std. Deviation</t>
  </si>
  <si>
    <t>Count</t>
  </si>
  <si>
    <t>Predicted Values</t>
  </si>
  <si>
    <t>Std. Residuals</t>
  </si>
  <si>
    <t>Std. Predicted Values</t>
  </si>
  <si>
    <t>Value</t>
  </si>
  <si>
    <t>R_2</t>
  </si>
  <si>
    <t>Adjusted R_2</t>
  </si>
  <si>
    <t>Std. Error of Estiamte</t>
  </si>
  <si>
    <t>Neighborhood Adjustment - Rank</t>
  </si>
  <si>
    <t>Neigh</t>
  </si>
  <si>
    <t>Mean Rank</t>
  </si>
  <si>
    <t>LB_mean</t>
  </si>
  <si>
    <t>UB_mean</t>
  </si>
  <si>
    <t>COD</t>
  </si>
  <si>
    <t>CV</t>
  </si>
  <si>
    <t>LB_mode</t>
  </si>
  <si>
    <t>UB_mode</t>
  </si>
  <si>
    <t>Actual_coverage</t>
  </si>
  <si>
    <t>Ratio Statistics for ASR</t>
  </si>
  <si>
    <t>Ratio Statistics for ASR after Neighborhood Adjustment</t>
  </si>
  <si>
    <t xml:space="preserve">Ratio Satistics for AST before Manual Class Adjustment </t>
  </si>
  <si>
    <t xml:space="preserve">Ratio Statistics for ASR after Manual Class Adjustment </t>
  </si>
  <si>
    <t>Further Adjustment for Sidewalk - Before Adjustment</t>
  </si>
  <si>
    <t>Further Adjustment for Sidewalk - After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</si>
</sst>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Lucida Console"/>
      <family val="3"/>
    </font>
    <font>
      <b/>
      <sz val="7"/>
      <color rgb="FF000000"/>
      <name val="Segoe UI"/>
      <family val="2"/>
    </font>
    <font>
      <sz val="7"/>
      <color theme="1"/>
      <name val="Segoe UI"/>
      <family val="2"/>
    </font>
    <font>
      <sz val="7"/>
      <color rgb="FF333333"/>
      <name val="Segoe UI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000000"/>
      <name val="Aptos Narrow"/>
      <family val="2"/>
    </font>
    <font>
      <sz val="8"/>
      <color rgb="FFBCBCBC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rgb="FFD6DAD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5" fillId="0" borderId="7" xfId="0" applyFont="1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6" fillId="0" borderId="8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11" fontId="8" fillId="0" borderId="10" xfId="0" applyNumberFormat="1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left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DCC9-D72F-4F46-9974-A89E23922951}">
  <dimension ref="B1:AO32"/>
  <sheetViews>
    <sheetView workbookViewId="0">
      <pane xSplit="1" topLeftCell="L1" activePane="topRight" state="frozen"/>
      <selection pane="topRight" activeCell="X3" sqref="X3"/>
    </sheetView>
  </sheetViews>
  <sheetFormatPr defaultRowHeight="14.4" x14ac:dyDescent="0.3"/>
  <cols>
    <col min="2" max="5" width="13" bestFit="1" customWidth="1"/>
    <col min="6" max="7" width="18.88671875" bestFit="1" customWidth="1"/>
    <col min="8" max="8" width="18.6640625" bestFit="1" customWidth="1"/>
    <col min="9" max="10" width="12" bestFit="1" customWidth="1"/>
    <col min="11" max="11" width="13" bestFit="1" customWidth="1"/>
    <col min="12" max="12" width="18.88671875" bestFit="1" customWidth="1"/>
    <col min="13" max="13" width="18.33203125" bestFit="1" customWidth="1"/>
    <col min="14" max="15" width="13" bestFit="1" customWidth="1"/>
    <col min="16" max="16" width="12" bestFit="1" customWidth="1"/>
    <col min="17" max="17" width="18.5546875" bestFit="1" customWidth="1"/>
    <col min="18" max="19" width="13" bestFit="1" customWidth="1"/>
    <col min="20" max="20" width="12" bestFit="1" customWidth="1"/>
    <col min="21" max="25" width="13" bestFit="1" customWidth="1"/>
    <col min="26" max="26" width="12" bestFit="1" customWidth="1"/>
    <col min="27" max="27" width="13" bestFit="1" customWidth="1"/>
    <col min="28" max="28" width="19.88671875" bestFit="1" customWidth="1"/>
    <col min="29" max="29" width="13" bestFit="1" customWidth="1"/>
    <col min="30" max="30" width="19" bestFit="1" customWidth="1"/>
    <col min="31" max="31" width="13" bestFit="1" customWidth="1"/>
    <col min="32" max="32" width="25.109375" bestFit="1" customWidth="1"/>
    <col min="33" max="33" width="6.5546875" bestFit="1" customWidth="1"/>
    <col min="34" max="34" width="9.109375" bestFit="1" customWidth="1"/>
    <col min="35" max="35" width="22.88671875" bestFit="1" customWidth="1"/>
    <col min="36" max="36" width="16.6640625" bestFit="1" customWidth="1"/>
    <col min="37" max="37" width="6.21875" bestFit="1" customWidth="1"/>
    <col min="38" max="38" width="17.5546875" bestFit="1" customWidth="1"/>
    <col min="39" max="39" width="5.6640625" bestFit="1" customWidth="1"/>
    <col min="40" max="40" width="16.6640625" bestFit="1" customWidth="1"/>
    <col min="41" max="41" width="6.44140625" bestFit="1" customWidth="1"/>
  </cols>
  <sheetData>
    <row r="1" spans="2:4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I1" t="s">
        <v>30</v>
      </c>
    </row>
    <row r="2" spans="2:41" x14ac:dyDescent="0.3">
      <c r="B2">
        <v>-0.134560122</v>
      </c>
      <c r="C2">
        <v>-0.41859575599999999</v>
      </c>
      <c r="D2">
        <v>-0.179269342</v>
      </c>
      <c r="E2">
        <v>-0.29920544100000002</v>
      </c>
      <c r="F2">
        <v>-0.60315560499999998</v>
      </c>
      <c r="G2">
        <v>-6.5638169999999996E-2</v>
      </c>
      <c r="H2">
        <v>-0.18994372000000001</v>
      </c>
      <c r="I2">
        <v>0.21086271000000001</v>
      </c>
      <c r="J2">
        <v>-0.41116733999999999</v>
      </c>
      <c r="K2">
        <v>-0.23301981799999999</v>
      </c>
      <c r="L2">
        <v>-0.53796470799999996</v>
      </c>
      <c r="M2">
        <v>-0.44706405999999999</v>
      </c>
      <c r="N2">
        <v>8.0920741000000004E-2</v>
      </c>
      <c r="O2">
        <v>-6.9565945000000004E-2</v>
      </c>
      <c r="P2">
        <v>-0.16607189</v>
      </c>
      <c r="Q2">
        <v>-0.10044064</v>
      </c>
      <c r="R2">
        <v>2.8039456000000001E-2</v>
      </c>
      <c r="S2">
        <v>9.6642910000000002E-3</v>
      </c>
      <c r="T2">
        <v>-0.20704880000000001</v>
      </c>
      <c r="U2">
        <v>-7.5643230000000006E-2</v>
      </c>
      <c r="V2">
        <v>3.6990574000000001E-3</v>
      </c>
      <c r="W2">
        <v>-0.22009092050000001</v>
      </c>
      <c r="X2">
        <v>1</v>
      </c>
      <c r="Y2">
        <v>-0.688197226</v>
      </c>
      <c r="Z2">
        <v>0.65195007000000005</v>
      </c>
      <c r="AA2">
        <v>0.234482685</v>
      </c>
      <c r="AB2">
        <v>-2.6149782999999999E-2</v>
      </c>
      <c r="AC2">
        <v>5.5441910000000004E-3</v>
      </c>
      <c r="AD2">
        <v>-0.16263756700000001</v>
      </c>
      <c r="AE2">
        <v>-0.13248912500000001</v>
      </c>
      <c r="AF2">
        <v>-0.65756367999999998</v>
      </c>
      <c r="AG2">
        <v>1</v>
      </c>
    </row>
    <row r="3" spans="2:41" x14ac:dyDescent="0.3">
      <c r="B3">
        <v>-0.16924514099999999</v>
      </c>
      <c r="C3">
        <v>-0.29754543999999999</v>
      </c>
      <c r="D3">
        <v>-0.226814039</v>
      </c>
      <c r="E3">
        <v>-0.34021909099999997</v>
      </c>
      <c r="F3">
        <v>-0.41817689000000002</v>
      </c>
      <c r="G3">
        <v>3.0031550000000001E-2</v>
      </c>
      <c r="H3">
        <v>-0.26571528999999999</v>
      </c>
      <c r="I3">
        <v>0.29545911000000002</v>
      </c>
      <c r="J3">
        <v>-0.38185396999999999</v>
      </c>
      <c r="K3">
        <v>-0.12563048700000001</v>
      </c>
      <c r="L3">
        <v>-0.33782499399999999</v>
      </c>
      <c r="M3">
        <v>-0.37782177</v>
      </c>
      <c r="N3">
        <v>0.13301102200000001</v>
      </c>
      <c r="O3">
        <v>-8.3735445000000006E-2</v>
      </c>
      <c r="P3">
        <v>-0.12049234</v>
      </c>
      <c r="Q3">
        <v>-0.19654464999999999</v>
      </c>
      <c r="R3">
        <v>-4.9316927000000003E-2</v>
      </c>
      <c r="S3">
        <v>-7.6542107999999998E-2</v>
      </c>
      <c r="T3">
        <v>-0.14945696</v>
      </c>
      <c r="U3">
        <v>-5.5818575000000002E-2</v>
      </c>
      <c r="V3">
        <v>-0.1061329125</v>
      </c>
      <c r="W3">
        <v>-0.15666097700000001</v>
      </c>
      <c r="X3">
        <v>0.65195006899999997</v>
      </c>
      <c r="Y3">
        <v>-0.81123381800000005</v>
      </c>
      <c r="Z3">
        <v>1</v>
      </c>
      <c r="AA3">
        <v>0.228448132</v>
      </c>
      <c r="AB3">
        <v>4.2088264E-2</v>
      </c>
      <c r="AC3">
        <v>9.9615771000000006E-2</v>
      </c>
      <c r="AD3">
        <v>-0.189595704</v>
      </c>
      <c r="AE3">
        <v>-0.14811691900000001</v>
      </c>
      <c r="AF3">
        <v>-0.49855273</v>
      </c>
    </row>
    <row r="4" spans="2:41" x14ac:dyDescent="0.3">
      <c r="B4">
        <v>-4.2582366000000003E-2</v>
      </c>
      <c r="C4">
        <v>-0.225675449</v>
      </c>
      <c r="D4">
        <v>-0.29966688499999999</v>
      </c>
      <c r="E4">
        <v>-0.24960547599999999</v>
      </c>
      <c r="F4">
        <v>-0.24268451399999999</v>
      </c>
      <c r="G4">
        <v>6.9427890000000006E-2</v>
      </c>
      <c r="H4">
        <v>-0.34435427000000002</v>
      </c>
      <c r="I4">
        <v>1</v>
      </c>
      <c r="J4">
        <v>-0.82035776999999999</v>
      </c>
      <c r="K4">
        <v>-0.41709463299999999</v>
      </c>
      <c r="L4">
        <v>-0.171854009</v>
      </c>
      <c r="M4">
        <v>-0.33025887999999998</v>
      </c>
      <c r="N4">
        <v>-6.0095783999999999E-2</v>
      </c>
      <c r="O4">
        <v>-6.9885322E-2</v>
      </c>
      <c r="P4">
        <v>-2.3447320000000001E-2</v>
      </c>
      <c r="Q4">
        <v>-0.11477345</v>
      </c>
      <c r="R4">
        <v>-8.4866410000000003E-2</v>
      </c>
      <c r="S4">
        <v>-5.4865795000000002E-2</v>
      </c>
      <c r="T4">
        <v>-6.3958630000000002E-2</v>
      </c>
      <c r="U4">
        <v>3.7432682000000002E-2</v>
      </c>
      <c r="V4">
        <v>4.21051052E-2</v>
      </c>
      <c r="W4">
        <v>-2.7988534200000002E-2</v>
      </c>
      <c r="X4">
        <v>0.21086270500000001</v>
      </c>
      <c r="Y4">
        <v>-0.30074731999999998</v>
      </c>
      <c r="Z4">
        <v>0.29545911000000002</v>
      </c>
      <c r="AA4">
        <v>5.3607175999999999E-2</v>
      </c>
      <c r="AB4">
        <v>2.5752549999999999E-2</v>
      </c>
      <c r="AC4">
        <v>4.4310283999999998E-2</v>
      </c>
      <c r="AD4">
        <v>-0.109956341</v>
      </c>
      <c r="AE4">
        <v>-6.7259968000000003E-2</v>
      </c>
      <c r="AF4">
        <v>-0.30405896999999998</v>
      </c>
    </row>
    <row r="5" spans="2:41" x14ac:dyDescent="0.3">
      <c r="B5">
        <v>-2.4112554000000001E-2</v>
      </c>
      <c r="C5">
        <v>-0.108055954</v>
      </c>
      <c r="D5">
        <v>-1.4329998E-2</v>
      </c>
      <c r="E5">
        <v>-2.8137028000000001E-2</v>
      </c>
      <c r="F5">
        <v>-6.7361776999999998E-2</v>
      </c>
      <c r="G5">
        <v>3.1751979999999999E-2</v>
      </c>
      <c r="H5">
        <v>-7.6849139999999996E-2</v>
      </c>
      <c r="I5">
        <v>5.3607179999999997E-2</v>
      </c>
      <c r="J5">
        <v>-5.0183119999999998E-2</v>
      </c>
      <c r="K5">
        <v>2.3118758E-2</v>
      </c>
      <c r="L5">
        <v>-4.1893112000000003E-2</v>
      </c>
      <c r="M5">
        <v>-7.5395470000000006E-2</v>
      </c>
      <c r="N5">
        <v>-7.1991099999999999E-3</v>
      </c>
      <c r="O5">
        <v>-4.3645923000000003E-2</v>
      </c>
      <c r="P5">
        <v>-6.0935950000000003E-2</v>
      </c>
      <c r="Q5">
        <v>-2.7124559999999999E-2</v>
      </c>
      <c r="R5">
        <v>7.3078450000000003E-3</v>
      </c>
      <c r="S5">
        <v>-9.2253120999999993E-2</v>
      </c>
      <c r="T5">
        <v>-4.7333239999999999E-2</v>
      </c>
      <c r="U5">
        <v>-7.8291417000000002E-2</v>
      </c>
      <c r="V5">
        <v>2.9853297899999999E-2</v>
      </c>
      <c r="W5">
        <v>-8.2133877199999997E-2</v>
      </c>
      <c r="X5">
        <v>0.234482685</v>
      </c>
      <c r="Y5">
        <v>-0.289267459</v>
      </c>
      <c r="Z5">
        <v>0.22844813</v>
      </c>
      <c r="AA5">
        <v>1</v>
      </c>
      <c r="AB5">
        <v>6.2152655000000001E-2</v>
      </c>
      <c r="AC5">
        <v>9.4036449999999994E-2</v>
      </c>
      <c r="AD5">
        <v>-0.143017809</v>
      </c>
      <c r="AE5">
        <v>-0.15405233700000001</v>
      </c>
      <c r="AF5">
        <v>-0.11157389</v>
      </c>
      <c r="AN5" s="6"/>
      <c r="AO5" s="7"/>
    </row>
    <row r="6" spans="2:41" x14ac:dyDescent="0.3">
      <c r="B6">
        <v>-6.1711079999999998E-3</v>
      </c>
      <c r="C6">
        <v>-0.16883194800000001</v>
      </c>
      <c r="D6">
        <v>-0.13514807600000001</v>
      </c>
      <c r="E6">
        <v>-4.2523195999999999E-2</v>
      </c>
      <c r="F6">
        <v>6.3328969999999997E-3</v>
      </c>
      <c r="G6">
        <v>-5.3743260000000001E-2</v>
      </c>
      <c r="H6">
        <v>0.14730048000000001</v>
      </c>
      <c r="I6">
        <v>-6.0095780000000001E-2</v>
      </c>
      <c r="J6">
        <v>6.1875449999999999E-2</v>
      </c>
      <c r="K6">
        <v>-0.109597979</v>
      </c>
      <c r="L6">
        <v>-1.9682986999999999E-2</v>
      </c>
      <c r="M6">
        <v>8.4071270000000003E-2</v>
      </c>
      <c r="N6">
        <v>1</v>
      </c>
      <c r="O6">
        <v>5.0170687999999998E-2</v>
      </c>
      <c r="P6">
        <v>-6.5372050000000001E-2</v>
      </c>
      <c r="Q6">
        <v>-1.1890420000000001E-2</v>
      </c>
      <c r="R6">
        <v>0.14215494000000001</v>
      </c>
      <c r="S6">
        <v>-3.1058525999999999E-2</v>
      </c>
      <c r="T6">
        <v>-1.623082E-2</v>
      </c>
      <c r="U6">
        <v>-6.0590364000000001E-2</v>
      </c>
      <c r="V6">
        <v>-8.1261494300000001E-2</v>
      </c>
      <c r="W6">
        <v>-1.9836788500000001E-2</v>
      </c>
      <c r="X6">
        <v>8.0920741000000004E-2</v>
      </c>
      <c r="Y6">
        <v>-0.151059586</v>
      </c>
      <c r="Z6">
        <v>0.13301102000000001</v>
      </c>
      <c r="AA6">
        <v>-7.1991099999999999E-3</v>
      </c>
      <c r="AB6">
        <v>0.15688811</v>
      </c>
      <c r="AC6">
        <v>8.9226073000000003E-2</v>
      </c>
      <c r="AD6">
        <v>-9.7573520000000004E-3</v>
      </c>
      <c r="AE6">
        <v>-3.877672E-3</v>
      </c>
      <c r="AF6">
        <v>-6.7768239999999993E-2</v>
      </c>
      <c r="AH6" t="s">
        <v>12</v>
      </c>
      <c r="AI6" s="2">
        <v>-6.7768239999999993E-2</v>
      </c>
      <c r="AN6" t="s">
        <v>17</v>
      </c>
      <c r="AO6" s="2">
        <v>-2.8336300000000002E-3</v>
      </c>
    </row>
    <row r="7" spans="2:41" x14ac:dyDescent="0.3">
      <c r="B7">
        <v>2.0880340000000001E-2</v>
      </c>
      <c r="C7">
        <v>-1.9295135000000001E-2</v>
      </c>
      <c r="D7">
        <v>3.3874410000000001E-3</v>
      </c>
      <c r="E7">
        <v>8.4057190000000007E-3</v>
      </c>
      <c r="F7">
        <v>-4.1801064999999998E-2</v>
      </c>
      <c r="G7">
        <v>0.11495271</v>
      </c>
      <c r="H7">
        <v>-7.1900240000000004E-2</v>
      </c>
      <c r="I7">
        <v>4.2105110000000001E-2</v>
      </c>
      <c r="J7">
        <v>-6.1010399999999999E-2</v>
      </c>
      <c r="K7">
        <v>2.2664574999999999E-2</v>
      </c>
      <c r="L7">
        <v>1.8329824000000002E-2</v>
      </c>
      <c r="M7">
        <v>-3.63833E-2</v>
      </c>
      <c r="N7">
        <v>-8.1261494000000004E-2</v>
      </c>
      <c r="O7">
        <v>6.871678E-3</v>
      </c>
      <c r="P7">
        <v>4.550978E-2</v>
      </c>
      <c r="Q7">
        <v>-3.505258E-2</v>
      </c>
      <c r="R7">
        <v>-7.0738933000000004E-2</v>
      </c>
      <c r="S7">
        <v>-6.9089717999999994E-2</v>
      </c>
      <c r="T7">
        <v>-8.95146E-2</v>
      </c>
      <c r="U7">
        <v>0.66903586599999998</v>
      </c>
      <c r="V7">
        <v>1</v>
      </c>
      <c r="W7">
        <v>-9.5574270000000001E-4</v>
      </c>
      <c r="X7">
        <v>3.699057E-3</v>
      </c>
      <c r="Y7">
        <v>1.0099399E-2</v>
      </c>
      <c r="Z7">
        <v>-0.10613291</v>
      </c>
      <c r="AA7">
        <v>2.9853298E-2</v>
      </c>
      <c r="AB7">
        <v>7.1643410000000003E-3</v>
      </c>
      <c r="AC7">
        <v>2.3598194999999999E-2</v>
      </c>
      <c r="AD7">
        <v>-4.5553260000000002E-3</v>
      </c>
      <c r="AE7">
        <v>-4.7690170000000004E-3</v>
      </c>
      <c r="AF7">
        <v>-5.3524460000000003E-2</v>
      </c>
      <c r="AH7" t="s">
        <v>20</v>
      </c>
      <c r="AI7" s="2">
        <v>-5.3524460000000003E-2</v>
      </c>
      <c r="AN7" t="s">
        <v>16</v>
      </c>
      <c r="AO7" s="2">
        <v>6.9287029999999999E-2</v>
      </c>
    </row>
    <row r="8" spans="2:41" x14ac:dyDescent="0.3">
      <c r="B8">
        <v>-3.6818179999999999E-3</v>
      </c>
      <c r="C8">
        <v>2.9316087000000001E-2</v>
      </c>
      <c r="D8">
        <v>-2.2603161E-2</v>
      </c>
      <c r="E8">
        <v>-4.3315719999999997E-3</v>
      </c>
      <c r="F8">
        <v>-1.5968172999999999E-2</v>
      </c>
      <c r="G8">
        <v>4.814674E-2</v>
      </c>
      <c r="H8">
        <v>-4.7650039999999998E-2</v>
      </c>
      <c r="I8">
        <v>3.7432680000000003E-2</v>
      </c>
      <c r="J8">
        <v>-4.63574E-2</v>
      </c>
      <c r="K8">
        <v>1.1644424E-2</v>
      </c>
      <c r="L8">
        <v>8.9726179999999999E-3</v>
      </c>
      <c r="M8">
        <v>-2.552478E-2</v>
      </c>
      <c r="N8">
        <v>-6.0590364000000001E-2</v>
      </c>
      <c r="O8">
        <v>-4.1986908000000003E-2</v>
      </c>
      <c r="P8">
        <v>-8.3211770000000004E-2</v>
      </c>
      <c r="Q8">
        <v>-9.0465489999999996E-2</v>
      </c>
      <c r="R8">
        <v>-7.5700730999999993E-2</v>
      </c>
      <c r="S8">
        <v>-1.52429E-2</v>
      </c>
      <c r="T8">
        <v>-9.5337160000000004E-2</v>
      </c>
      <c r="U8">
        <v>1</v>
      </c>
      <c r="V8">
        <v>0.66903586640000001</v>
      </c>
      <c r="W8">
        <v>7.0573770999999997E-3</v>
      </c>
      <c r="X8">
        <v>-7.5643230000000006E-2</v>
      </c>
      <c r="Y8">
        <v>4.9956949999999996E-3</v>
      </c>
      <c r="Z8">
        <v>-5.5818569999999998E-2</v>
      </c>
      <c r="AA8">
        <v>-7.8291417000000002E-2</v>
      </c>
      <c r="AB8">
        <v>-8.3429756999999993E-2</v>
      </c>
      <c r="AC8">
        <v>-4.4327658999999998E-2</v>
      </c>
      <c r="AD8">
        <v>7.4710225000000005E-2</v>
      </c>
      <c r="AE8">
        <v>7.1370380999999997E-2</v>
      </c>
      <c r="AF8">
        <v>-3.3227970000000003E-2</v>
      </c>
      <c r="AH8" t="s">
        <v>19</v>
      </c>
      <c r="AI8" s="2">
        <v>-3.3227970000000003E-2</v>
      </c>
    </row>
    <row r="9" spans="2:41" x14ac:dyDescent="0.3">
      <c r="B9">
        <v>3.3100358000000003E-2</v>
      </c>
      <c r="C9">
        <v>6.6990849999999996E-3</v>
      </c>
      <c r="D9">
        <v>9.7884744999999995E-2</v>
      </c>
      <c r="E9">
        <v>6.2795117999999997E-2</v>
      </c>
      <c r="F9">
        <v>2.4429929999999999E-2</v>
      </c>
      <c r="G9">
        <v>1.5328939999999999E-2</v>
      </c>
      <c r="H9">
        <v>7.0911409999999994E-2</v>
      </c>
      <c r="I9">
        <v>-5.4865789999999998E-2</v>
      </c>
      <c r="J9">
        <v>6.4571619999999996E-2</v>
      </c>
      <c r="K9">
        <v>-1.4130780000000001E-2</v>
      </c>
      <c r="L9">
        <v>2.7685916000000001E-2</v>
      </c>
      <c r="M9">
        <v>6.2231889999999998E-2</v>
      </c>
      <c r="N9">
        <v>-3.1058525999999999E-2</v>
      </c>
      <c r="O9">
        <v>4.9256108999999999E-2</v>
      </c>
      <c r="P9">
        <v>4.2443689999999999E-2</v>
      </c>
      <c r="Q9">
        <v>0.10884729</v>
      </c>
      <c r="R9">
        <v>-3.4740137999999997E-2</v>
      </c>
      <c r="S9">
        <v>1</v>
      </c>
      <c r="T9">
        <v>3.1449230000000002E-2</v>
      </c>
      <c r="U9">
        <v>-1.52429E-2</v>
      </c>
      <c r="V9">
        <v>-6.90897179E-2</v>
      </c>
      <c r="W9">
        <v>5.8544844499999998E-2</v>
      </c>
      <c r="X9">
        <v>9.6642910000000002E-3</v>
      </c>
      <c r="Y9">
        <v>6.4181158000000002E-2</v>
      </c>
      <c r="Z9">
        <v>-7.6542109999999997E-2</v>
      </c>
      <c r="AA9">
        <v>-9.2253120999999993E-2</v>
      </c>
      <c r="AB9">
        <v>3.1218525E-2</v>
      </c>
      <c r="AC9">
        <v>-4.8885109999999999E-3</v>
      </c>
      <c r="AD9">
        <v>2.8467888E-2</v>
      </c>
      <c r="AE9">
        <v>4.3962772999999997E-2</v>
      </c>
      <c r="AF9">
        <v>-2.8336300000000002E-3</v>
      </c>
    </row>
    <row r="10" spans="2:41" x14ac:dyDescent="0.3">
      <c r="B10">
        <v>-5.950014E-2</v>
      </c>
      <c r="C10">
        <v>-2.0512529999999998E-3</v>
      </c>
      <c r="D10">
        <v>6.6934949999999998E-3</v>
      </c>
      <c r="E10">
        <v>5.2111290999999997E-2</v>
      </c>
      <c r="F10">
        <v>4.5509150999999998E-2</v>
      </c>
      <c r="G10">
        <v>-3.6433010000000002E-2</v>
      </c>
      <c r="H10">
        <v>0.14685677</v>
      </c>
      <c r="I10">
        <v>-8.4866410000000003E-2</v>
      </c>
      <c r="J10">
        <v>8.8686650000000006E-2</v>
      </c>
      <c r="K10">
        <v>-6.5786129999999998E-2</v>
      </c>
      <c r="L10">
        <v>2.1330662E-2</v>
      </c>
      <c r="M10">
        <v>0.10931625</v>
      </c>
      <c r="N10">
        <v>0.14215494000000001</v>
      </c>
      <c r="O10">
        <v>0.106490313</v>
      </c>
      <c r="P10">
        <v>3.9877570000000001E-2</v>
      </c>
      <c r="Q10">
        <v>2.6638120000000001E-2</v>
      </c>
      <c r="R10">
        <v>1</v>
      </c>
      <c r="S10">
        <v>-3.4740137999999997E-2</v>
      </c>
      <c r="T10">
        <v>-2.977585E-2</v>
      </c>
      <c r="U10">
        <v>-7.5700730999999993E-2</v>
      </c>
      <c r="V10">
        <v>-7.0738932599999998E-2</v>
      </c>
      <c r="W10">
        <v>-8.5545422100000004E-2</v>
      </c>
      <c r="X10">
        <v>2.8039456000000001E-2</v>
      </c>
      <c r="Y10">
        <v>-1.6761446999999999E-2</v>
      </c>
      <c r="Z10">
        <v>-4.9316930000000002E-2</v>
      </c>
      <c r="AA10">
        <v>7.3078450000000003E-3</v>
      </c>
      <c r="AB10">
        <v>0.210912659</v>
      </c>
      <c r="AC10">
        <v>0.13739365100000001</v>
      </c>
      <c r="AD10">
        <v>7.1369019999999997E-3</v>
      </c>
      <c r="AE10">
        <v>-1.9124476000000001E-2</v>
      </c>
      <c r="AF10">
        <v>6.9287029999999999E-2</v>
      </c>
      <c r="AG10">
        <v>1</v>
      </c>
    </row>
    <row r="11" spans="2:41" x14ac:dyDescent="0.3">
      <c r="B11">
        <v>-6.8812599000000002E-2</v>
      </c>
      <c r="C11">
        <v>9.8683810999999996E-2</v>
      </c>
      <c r="D11">
        <v>8.1448435999999999E-2</v>
      </c>
      <c r="E11">
        <v>8.8343697999999998E-2</v>
      </c>
      <c r="F11">
        <v>0.10073388899999999</v>
      </c>
      <c r="G11">
        <v>-5.0929870000000002E-2</v>
      </c>
      <c r="H11">
        <v>0.10415236</v>
      </c>
      <c r="I11">
        <v>-6.9885320000000001E-2</v>
      </c>
      <c r="J11">
        <v>0.11080276</v>
      </c>
      <c r="K11">
        <v>4.7559830000000001E-3</v>
      </c>
      <c r="L11">
        <v>6.1043285000000003E-2</v>
      </c>
      <c r="M11">
        <v>0.10425962</v>
      </c>
      <c r="N11">
        <v>5.0170687999999998E-2</v>
      </c>
      <c r="O11">
        <v>1</v>
      </c>
      <c r="P11">
        <v>7.6022370000000006E-2</v>
      </c>
      <c r="Q11">
        <v>9.0451740000000003E-2</v>
      </c>
      <c r="R11">
        <v>0.106490313</v>
      </c>
      <c r="S11">
        <v>4.9256108999999999E-2</v>
      </c>
      <c r="T11">
        <v>0.12046385</v>
      </c>
      <c r="U11">
        <v>-4.1986908000000003E-2</v>
      </c>
      <c r="V11">
        <v>6.8716782999999997E-3</v>
      </c>
      <c r="W11">
        <v>2.4234395799999999E-2</v>
      </c>
      <c r="X11">
        <v>-6.9565945000000004E-2</v>
      </c>
      <c r="Y11">
        <v>0.100392045</v>
      </c>
      <c r="Z11">
        <v>-8.3735450000000003E-2</v>
      </c>
      <c r="AA11">
        <v>-4.3645923000000003E-2</v>
      </c>
      <c r="AB11">
        <v>-1.1752607999999999E-2</v>
      </c>
      <c r="AC11">
        <v>4.4830557E-2</v>
      </c>
      <c r="AD11">
        <v>9.6688457000000005E-2</v>
      </c>
      <c r="AE11">
        <v>8.2925620000000005E-2</v>
      </c>
      <c r="AF11">
        <v>0.10386131</v>
      </c>
    </row>
    <row r="12" spans="2:41" x14ac:dyDescent="0.3">
      <c r="B12">
        <v>4.1085310999999999E-2</v>
      </c>
      <c r="C12">
        <v>0.144393354</v>
      </c>
      <c r="D12">
        <v>8.9091466999999994E-2</v>
      </c>
      <c r="E12">
        <v>0.237083922</v>
      </c>
      <c r="F12">
        <v>8.4730201000000005E-2</v>
      </c>
      <c r="G12">
        <v>-2.433037E-2</v>
      </c>
      <c r="H12">
        <v>0.20236963999999999</v>
      </c>
      <c r="I12">
        <v>-6.7259970000000002E-2</v>
      </c>
      <c r="J12">
        <v>9.3471479999999996E-2</v>
      </c>
      <c r="K12">
        <v>-0.11125246799999999</v>
      </c>
      <c r="L12">
        <v>5.9958513999999997E-2</v>
      </c>
      <c r="M12">
        <v>0.16967748999999999</v>
      </c>
      <c r="N12">
        <v>-3.877672E-3</v>
      </c>
      <c r="O12">
        <v>8.2925620000000005E-2</v>
      </c>
      <c r="P12">
        <v>-4.083415E-2</v>
      </c>
      <c r="Q12">
        <v>0.14487881</v>
      </c>
      <c r="R12">
        <v>-1.9124476000000001E-2</v>
      </c>
      <c r="S12">
        <v>4.3962772999999997E-2</v>
      </c>
      <c r="T12">
        <v>6.5552260000000001E-2</v>
      </c>
      <c r="U12">
        <v>7.1370380999999997E-2</v>
      </c>
      <c r="V12">
        <v>-4.7690168999999999E-3</v>
      </c>
      <c r="W12">
        <v>8.4065303300000005E-2</v>
      </c>
      <c r="X12">
        <v>-0.13248912500000001</v>
      </c>
      <c r="Y12">
        <v>0.13173533700000001</v>
      </c>
      <c r="Z12">
        <v>-0.14811692000000001</v>
      </c>
      <c r="AA12">
        <v>-0.15405233700000001</v>
      </c>
      <c r="AB12">
        <v>-0.260299489</v>
      </c>
      <c r="AC12">
        <v>-0.37979831800000002</v>
      </c>
      <c r="AD12">
        <v>0.89454637100000001</v>
      </c>
      <c r="AE12">
        <v>1</v>
      </c>
      <c r="AF12">
        <v>0.11825148000000001</v>
      </c>
      <c r="AG12">
        <v>1</v>
      </c>
    </row>
    <row r="13" spans="2:41" x14ac:dyDescent="0.3">
      <c r="B13">
        <v>6.6681285000000007E-2</v>
      </c>
      <c r="C13">
        <v>0.21304669100000001</v>
      </c>
      <c r="D13">
        <v>9.0792577999999999E-2</v>
      </c>
      <c r="E13">
        <v>0.28232479599999999</v>
      </c>
      <c r="F13">
        <v>0.161334007</v>
      </c>
      <c r="G13">
        <v>-4.5127859999999999E-2</v>
      </c>
      <c r="H13">
        <v>0.24522067</v>
      </c>
      <c r="I13">
        <v>-0.10995634</v>
      </c>
      <c r="J13">
        <v>0.17191722000000001</v>
      </c>
      <c r="K13">
        <v>-7.6675153999999995E-2</v>
      </c>
      <c r="L13">
        <v>0.114724621</v>
      </c>
      <c r="M13">
        <v>0.2307015</v>
      </c>
      <c r="N13">
        <v>-9.7573520000000004E-3</v>
      </c>
      <c r="O13">
        <v>9.6688457000000005E-2</v>
      </c>
      <c r="P13">
        <v>-4.7486199999999999E-2</v>
      </c>
      <c r="Q13">
        <v>0.17380667999999999</v>
      </c>
      <c r="R13">
        <v>7.1369019999999997E-3</v>
      </c>
      <c r="S13">
        <v>2.8467888E-2</v>
      </c>
      <c r="T13">
        <v>7.1675379999999997E-2</v>
      </c>
      <c r="U13">
        <v>7.4710225000000005E-2</v>
      </c>
      <c r="V13">
        <v>-4.5553258000000001E-3</v>
      </c>
      <c r="W13">
        <v>6.1578322300000002E-2</v>
      </c>
      <c r="X13">
        <v>-0.16263756700000001</v>
      </c>
      <c r="Y13">
        <v>0.15522391299999999</v>
      </c>
      <c r="Z13">
        <v>-0.18959570000000001</v>
      </c>
      <c r="AA13">
        <v>-0.143017809</v>
      </c>
      <c r="AB13">
        <v>-0.256618756</v>
      </c>
      <c r="AC13">
        <v>-0.36341744399999998</v>
      </c>
      <c r="AD13">
        <v>1</v>
      </c>
      <c r="AE13">
        <v>0.89454637100000001</v>
      </c>
      <c r="AF13">
        <v>0.18723614</v>
      </c>
    </row>
    <row r="14" spans="2:41" x14ac:dyDescent="0.3">
      <c r="B14">
        <v>0.119318443</v>
      </c>
      <c r="C14">
        <v>-2.611223E-2</v>
      </c>
      <c r="D14">
        <v>-0.22896665799999999</v>
      </c>
      <c r="E14">
        <v>7.4236069999999996E-3</v>
      </c>
      <c r="F14">
        <v>0.32398152800000002</v>
      </c>
      <c r="G14">
        <v>0.14418441000000001</v>
      </c>
      <c r="H14">
        <v>-0.54168634000000004</v>
      </c>
      <c r="I14">
        <v>-0.41709463000000002</v>
      </c>
      <c r="J14">
        <v>0.48024344000000002</v>
      </c>
      <c r="K14">
        <v>1</v>
      </c>
      <c r="L14">
        <v>0.339656452</v>
      </c>
      <c r="M14">
        <v>-0.15241793000000001</v>
      </c>
      <c r="N14">
        <v>-0.109597979</v>
      </c>
      <c r="O14">
        <v>4.7559830000000001E-3</v>
      </c>
      <c r="P14">
        <v>7.8539490000000003E-2</v>
      </c>
      <c r="Q14">
        <v>6.0723699999999999E-2</v>
      </c>
      <c r="R14">
        <v>-6.5786129999999998E-2</v>
      </c>
      <c r="S14">
        <v>-1.4130780000000001E-2</v>
      </c>
      <c r="T14">
        <v>8.1130170000000001E-2</v>
      </c>
      <c r="U14">
        <v>1.1644424E-2</v>
      </c>
      <c r="V14">
        <v>2.2664575100000001E-2</v>
      </c>
      <c r="W14">
        <v>8.8376133800000006E-2</v>
      </c>
      <c r="X14">
        <v>-0.23301981799999999</v>
      </c>
      <c r="Y14">
        <v>0.148540069</v>
      </c>
      <c r="Z14">
        <v>-0.12563049000000001</v>
      </c>
      <c r="AA14">
        <v>2.3118758E-2</v>
      </c>
      <c r="AB14">
        <v>1.5563230000000001E-2</v>
      </c>
      <c r="AC14">
        <v>5.9823765000000001E-2</v>
      </c>
      <c r="AD14">
        <v>-7.6675153999999995E-2</v>
      </c>
      <c r="AE14">
        <v>-0.11125246799999999</v>
      </c>
      <c r="AF14">
        <v>0.22546331999999999</v>
      </c>
      <c r="AJ14" s="8" t="s">
        <v>11</v>
      </c>
      <c r="AK14" s="9">
        <v>0.73848027999999999</v>
      </c>
      <c r="AL14" s="3" t="s">
        <v>2</v>
      </c>
      <c r="AM14" s="10">
        <v>0.38557235000000001</v>
      </c>
      <c r="AN14" s="3" t="s">
        <v>21</v>
      </c>
      <c r="AO14" s="10">
        <v>0.29851777000000002</v>
      </c>
    </row>
    <row r="15" spans="2:41" x14ac:dyDescent="0.3">
      <c r="B15">
        <v>9.8246715999999998E-2</v>
      </c>
      <c r="C15">
        <v>0.132825006</v>
      </c>
      <c r="D15">
        <v>3.4657796999999997E-2</v>
      </c>
      <c r="E15">
        <v>7.5839242000000001E-2</v>
      </c>
      <c r="F15">
        <v>0.13849371099999999</v>
      </c>
      <c r="G15">
        <v>3.6855440000000003E-2</v>
      </c>
      <c r="H15">
        <v>3.7679520000000001E-2</v>
      </c>
      <c r="I15">
        <v>-6.3958630000000002E-2</v>
      </c>
      <c r="J15">
        <v>0.12313230999999999</v>
      </c>
      <c r="K15">
        <v>8.1130167000000003E-2</v>
      </c>
      <c r="L15">
        <v>0.13366254299999999</v>
      </c>
      <c r="M15">
        <v>0.10424946</v>
      </c>
      <c r="N15">
        <v>-1.6230820999999999E-2</v>
      </c>
      <c r="O15">
        <v>0.120463851</v>
      </c>
      <c r="P15">
        <v>0.14233119999999999</v>
      </c>
      <c r="Q15">
        <v>0.29771792000000002</v>
      </c>
      <c r="R15">
        <v>-2.9775848000000001E-2</v>
      </c>
      <c r="S15">
        <v>3.1449227000000003E-2</v>
      </c>
      <c r="T15">
        <v>1</v>
      </c>
      <c r="U15">
        <v>-9.5337164000000002E-2</v>
      </c>
      <c r="V15">
        <v>-8.9514595599999996E-2</v>
      </c>
      <c r="W15">
        <v>0.43039637450000001</v>
      </c>
      <c r="X15">
        <v>-0.207048801</v>
      </c>
      <c r="Y15">
        <v>0.16529696899999999</v>
      </c>
      <c r="Z15">
        <v>-0.14945696</v>
      </c>
      <c r="AA15">
        <v>-4.7333241999999998E-2</v>
      </c>
      <c r="AB15">
        <v>2.9966376999999999E-2</v>
      </c>
      <c r="AC15">
        <v>2.6318141999999999E-2</v>
      </c>
      <c r="AD15">
        <v>7.1675378999999997E-2</v>
      </c>
      <c r="AE15">
        <v>6.5552261000000001E-2</v>
      </c>
      <c r="AF15">
        <v>0.24155035999999999</v>
      </c>
      <c r="AJ15" s="8" t="s">
        <v>10</v>
      </c>
      <c r="AK15" s="9">
        <v>0.78461820000000004</v>
      </c>
      <c r="AL15" s="3" t="s">
        <v>6</v>
      </c>
      <c r="AM15" s="10">
        <v>0.40674032999999998</v>
      </c>
      <c r="AN15" s="3" t="s">
        <v>14</v>
      </c>
      <c r="AO15" s="10">
        <v>0.27920694000000001</v>
      </c>
    </row>
    <row r="16" spans="2:41" x14ac:dyDescent="0.3">
      <c r="B16">
        <v>0.11958316500000001</v>
      </c>
      <c r="C16">
        <v>0.166114398</v>
      </c>
      <c r="D16">
        <v>8.7930460000000002E-2</v>
      </c>
      <c r="E16">
        <v>9.4472932999999995E-2</v>
      </c>
      <c r="F16">
        <v>0.187859734</v>
      </c>
      <c r="G16">
        <v>0.18951525999999999</v>
      </c>
      <c r="H16">
        <v>7.9807820000000002E-2</v>
      </c>
      <c r="I16">
        <v>2.5752549999999999E-2</v>
      </c>
      <c r="J16">
        <v>9.7554689999999999E-2</v>
      </c>
      <c r="K16">
        <v>1.5563230000000001E-2</v>
      </c>
      <c r="L16">
        <v>0.246236649</v>
      </c>
      <c r="M16">
        <v>0.19981921</v>
      </c>
      <c r="N16">
        <v>0.15688811</v>
      </c>
      <c r="O16">
        <v>-1.1752607999999999E-2</v>
      </c>
      <c r="P16">
        <v>0.19903783999999999</v>
      </c>
      <c r="Q16">
        <v>0.12788809000000001</v>
      </c>
      <c r="R16">
        <v>0.210912659</v>
      </c>
      <c r="S16">
        <v>3.1218525E-2</v>
      </c>
      <c r="T16">
        <v>2.9966380000000001E-2</v>
      </c>
      <c r="U16">
        <v>-8.3429756999999993E-2</v>
      </c>
      <c r="V16">
        <v>7.1643408999999998E-3</v>
      </c>
      <c r="W16">
        <v>3.1601802900000003E-2</v>
      </c>
      <c r="X16">
        <v>-2.6149782999999999E-2</v>
      </c>
      <c r="Y16">
        <v>-1.1409258E-2</v>
      </c>
      <c r="Z16">
        <v>4.2088260000000002E-2</v>
      </c>
      <c r="AA16">
        <v>6.2152655000000001E-2</v>
      </c>
      <c r="AB16">
        <v>1</v>
      </c>
      <c r="AC16">
        <v>0.77027628400000003</v>
      </c>
      <c r="AD16">
        <v>-0.256618756</v>
      </c>
      <c r="AE16">
        <v>-0.260299489</v>
      </c>
      <c r="AF16">
        <v>0.25023310999999998</v>
      </c>
      <c r="AJ16" s="8" t="s">
        <v>4</v>
      </c>
      <c r="AK16" s="9">
        <v>0.79122782999999997</v>
      </c>
      <c r="AL16" s="3" t="s">
        <v>3</v>
      </c>
      <c r="AM16" s="10">
        <v>0.51520836000000003</v>
      </c>
      <c r="AN16" s="3" t="s">
        <v>28</v>
      </c>
      <c r="AO16" s="10">
        <v>0.18723614</v>
      </c>
    </row>
    <row r="17" spans="2:41" x14ac:dyDescent="0.3">
      <c r="B17">
        <v>0.34792772100000002</v>
      </c>
      <c r="C17">
        <v>0.18375962500000001</v>
      </c>
      <c r="D17">
        <v>0.13375115200000001</v>
      </c>
      <c r="E17">
        <v>5.3598310000000003E-2</v>
      </c>
      <c r="F17">
        <v>9.6662127E-2</v>
      </c>
      <c r="G17">
        <v>1</v>
      </c>
      <c r="H17">
        <v>-0.16434283</v>
      </c>
      <c r="I17">
        <v>6.9427890000000006E-2</v>
      </c>
      <c r="J17">
        <v>-1.9014079999999999E-2</v>
      </c>
      <c r="K17">
        <v>0.14418440799999999</v>
      </c>
      <c r="L17">
        <v>0.54669256700000002</v>
      </c>
      <c r="M17">
        <v>0.2188783</v>
      </c>
      <c r="N17">
        <v>-5.3743261000000001E-2</v>
      </c>
      <c r="O17">
        <v>-5.0929870000000002E-2</v>
      </c>
      <c r="P17">
        <v>0.14751819999999999</v>
      </c>
      <c r="Q17">
        <v>4.0026569999999997E-2</v>
      </c>
      <c r="R17">
        <v>-3.6433013E-2</v>
      </c>
      <c r="S17">
        <v>1.5328937000000001E-2</v>
      </c>
      <c r="T17">
        <v>3.6855440000000003E-2</v>
      </c>
      <c r="U17">
        <v>4.8146739000000001E-2</v>
      </c>
      <c r="V17">
        <v>0.1149527087</v>
      </c>
      <c r="W17">
        <v>0.20091095849999999</v>
      </c>
      <c r="X17">
        <v>-6.5638175000000007E-2</v>
      </c>
      <c r="Y17">
        <v>-3.2315502000000003E-2</v>
      </c>
      <c r="Z17">
        <v>3.0031550000000001E-2</v>
      </c>
      <c r="AA17">
        <v>3.1751977000000001E-2</v>
      </c>
      <c r="AB17">
        <v>0.18951526099999999</v>
      </c>
      <c r="AC17">
        <v>0.17589605</v>
      </c>
      <c r="AD17">
        <v>-4.5127859999999999E-2</v>
      </c>
      <c r="AE17">
        <v>-2.4330371999999999E-2</v>
      </c>
      <c r="AF17">
        <v>0.25566502000000002</v>
      </c>
      <c r="AG17">
        <v>1</v>
      </c>
      <c r="AJ17" s="8" t="s">
        <v>1</v>
      </c>
      <c r="AK17" s="9">
        <v>0.65109286</v>
      </c>
      <c r="AL17" s="3" t="s">
        <v>23</v>
      </c>
      <c r="AM17" s="10">
        <v>0.56623650000000003</v>
      </c>
      <c r="AN17" s="3" t="s">
        <v>12</v>
      </c>
      <c r="AO17" s="10">
        <v>-6.7768239999999993E-2</v>
      </c>
    </row>
    <row r="18" spans="2:41" x14ac:dyDescent="0.3">
      <c r="B18">
        <v>9.6128410999999997E-2</v>
      </c>
      <c r="C18">
        <v>0.201237901</v>
      </c>
      <c r="D18">
        <v>0.118509344</v>
      </c>
      <c r="E18">
        <v>0.14312159999999999</v>
      </c>
      <c r="F18">
        <v>0.23788889699999999</v>
      </c>
      <c r="G18">
        <v>0.17589605</v>
      </c>
      <c r="H18">
        <v>5.7509900000000003E-2</v>
      </c>
      <c r="I18">
        <v>4.431028E-2</v>
      </c>
      <c r="J18">
        <v>0.11288059</v>
      </c>
      <c r="K18">
        <v>5.9823765000000001E-2</v>
      </c>
      <c r="L18">
        <v>0.28198680999999998</v>
      </c>
      <c r="M18">
        <v>0.20686452</v>
      </c>
      <c r="N18">
        <v>8.9226073000000003E-2</v>
      </c>
      <c r="O18">
        <v>4.4830557E-2</v>
      </c>
      <c r="P18">
        <v>0.22465979</v>
      </c>
      <c r="Q18">
        <v>0.11032086000000001</v>
      </c>
      <c r="R18">
        <v>0.13739365100000001</v>
      </c>
      <c r="S18">
        <v>-4.8885109999999999E-3</v>
      </c>
      <c r="T18">
        <v>2.631814E-2</v>
      </c>
      <c r="U18">
        <v>-4.4327658999999998E-2</v>
      </c>
      <c r="V18">
        <v>2.35981948E-2</v>
      </c>
      <c r="W18">
        <v>5.3564119100000002E-2</v>
      </c>
      <c r="X18">
        <v>5.5441910000000004E-3</v>
      </c>
      <c r="Y18">
        <v>-6.5710278999999996E-2</v>
      </c>
      <c r="Z18">
        <v>9.9615770000000006E-2</v>
      </c>
      <c r="AA18">
        <v>9.4036449999999994E-2</v>
      </c>
      <c r="AB18">
        <v>0.77027628400000003</v>
      </c>
      <c r="AC18">
        <v>1</v>
      </c>
      <c r="AD18">
        <v>-0.36341744399999998</v>
      </c>
      <c r="AE18">
        <v>-0.37979831800000002</v>
      </c>
      <c r="AF18">
        <v>0.26788561999999999</v>
      </c>
      <c r="AG18">
        <v>1</v>
      </c>
      <c r="AJ18" s="8" t="s">
        <v>8</v>
      </c>
      <c r="AK18" s="9">
        <v>0.62582342000000002</v>
      </c>
      <c r="AL18" s="3" t="s">
        <v>9</v>
      </c>
      <c r="AM18" s="10">
        <v>0.22546331999999999</v>
      </c>
      <c r="AN18" s="3" t="s">
        <v>20</v>
      </c>
      <c r="AO18" s="10">
        <v>-5.3524460000000003E-2</v>
      </c>
    </row>
    <row r="19" spans="2:41" x14ac:dyDescent="0.3">
      <c r="B19">
        <v>6.0921634000000002E-2</v>
      </c>
      <c r="C19">
        <v>0.20391451999999999</v>
      </c>
      <c r="D19">
        <v>0.165351474</v>
      </c>
      <c r="E19">
        <v>0.13058103400000001</v>
      </c>
      <c r="F19">
        <v>0.21967073200000001</v>
      </c>
      <c r="G19">
        <v>0.14751819999999999</v>
      </c>
      <c r="H19">
        <v>6.437843E-2</v>
      </c>
      <c r="I19">
        <v>-2.3447320000000001E-2</v>
      </c>
      <c r="J19">
        <v>0.13617773</v>
      </c>
      <c r="K19">
        <v>7.8539492000000002E-2</v>
      </c>
      <c r="L19">
        <v>0.25345406599999998</v>
      </c>
      <c r="M19">
        <v>0.19475654000000001</v>
      </c>
      <c r="N19">
        <v>-6.5372045000000004E-2</v>
      </c>
      <c r="O19">
        <v>7.6022373000000004E-2</v>
      </c>
      <c r="P19">
        <v>1</v>
      </c>
      <c r="Q19">
        <v>0.12826712000000001</v>
      </c>
      <c r="R19">
        <v>3.9877572999999999E-2</v>
      </c>
      <c r="S19">
        <v>4.2443692999999998E-2</v>
      </c>
      <c r="T19">
        <v>0.14233119999999999</v>
      </c>
      <c r="U19">
        <v>-8.3211769000000005E-2</v>
      </c>
      <c r="V19">
        <v>4.5509781499999999E-2</v>
      </c>
      <c r="W19">
        <v>0.13266535560000001</v>
      </c>
      <c r="X19">
        <v>-0.166071891</v>
      </c>
      <c r="Y19">
        <v>0.12253396900000001</v>
      </c>
      <c r="Z19">
        <v>-0.12049234</v>
      </c>
      <c r="AA19">
        <v>-6.0935951000000002E-2</v>
      </c>
      <c r="AB19">
        <v>0.19903784099999999</v>
      </c>
      <c r="AC19">
        <v>0.224659792</v>
      </c>
      <c r="AD19">
        <v>-4.7486202999999998E-2</v>
      </c>
      <c r="AE19">
        <v>-4.0834150999999999E-2</v>
      </c>
      <c r="AF19">
        <v>0.27920694000000001</v>
      </c>
      <c r="AJ19" s="8" t="s">
        <v>22</v>
      </c>
      <c r="AK19" s="9">
        <v>-0.65756367999999998</v>
      </c>
      <c r="AL19" s="3" t="s">
        <v>18</v>
      </c>
      <c r="AM19" s="10">
        <v>0.24155035999999999</v>
      </c>
      <c r="AN19" s="3" t="s">
        <v>19</v>
      </c>
      <c r="AO19" s="10">
        <v>-3.3227970000000003E-2</v>
      </c>
    </row>
    <row r="20" spans="2:41" x14ac:dyDescent="0.3">
      <c r="B20">
        <v>0.15611551300000001</v>
      </c>
      <c r="C20">
        <v>0.15319960799999999</v>
      </c>
      <c r="D20">
        <v>5.8928635E-2</v>
      </c>
      <c r="E20">
        <v>6.3004851000000001E-2</v>
      </c>
      <c r="F20">
        <v>0.21575560999999999</v>
      </c>
      <c r="G20">
        <v>0.20091096</v>
      </c>
      <c r="H20">
        <v>3.6260559999999997E-2</v>
      </c>
      <c r="I20">
        <v>-2.7988530000000001E-2</v>
      </c>
      <c r="J20">
        <v>0.12839645999999999</v>
      </c>
      <c r="K20">
        <v>8.8376133999999995E-2</v>
      </c>
      <c r="L20">
        <v>0.27500794699999997</v>
      </c>
      <c r="M20">
        <v>0.18901815</v>
      </c>
      <c r="N20">
        <v>-1.9836789000000001E-2</v>
      </c>
      <c r="O20">
        <v>2.4234395999999998E-2</v>
      </c>
      <c r="P20">
        <v>0.13266536000000001</v>
      </c>
      <c r="Q20">
        <v>0.28156745999999999</v>
      </c>
      <c r="R20">
        <v>-8.5545421999999996E-2</v>
      </c>
      <c r="S20">
        <v>5.8544843999999999E-2</v>
      </c>
      <c r="T20">
        <v>0.43039636999999997</v>
      </c>
      <c r="U20">
        <v>7.0573770000000001E-3</v>
      </c>
      <c r="V20">
        <v>-9.5574270000000001E-4</v>
      </c>
      <c r="W20">
        <v>1</v>
      </c>
      <c r="X20">
        <v>-0.22009092</v>
      </c>
      <c r="Y20">
        <v>0.19162479199999999</v>
      </c>
      <c r="Z20">
        <v>-0.15666098000000001</v>
      </c>
      <c r="AA20">
        <v>-8.2133876999999994E-2</v>
      </c>
      <c r="AB20">
        <v>3.1601802999999998E-2</v>
      </c>
      <c r="AC20">
        <v>5.3564119E-2</v>
      </c>
      <c r="AD20">
        <v>6.1578321999999998E-2</v>
      </c>
      <c r="AE20">
        <v>8.4065302999999994E-2</v>
      </c>
      <c r="AF20">
        <v>0.29851777000000002</v>
      </c>
      <c r="AJ20" s="3" t="s">
        <v>24</v>
      </c>
      <c r="AK20" s="10">
        <v>-0.49855273</v>
      </c>
      <c r="AL20" s="3" t="s">
        <v>26</v>
      </c>
      <c r="AM20" s="10">
        <v>0.25023310999999998</v>
      </c>
      <c r="AN20" s="3" t="s">
        <v>25</v>
      </c>
      <c r="AO20" s="10">
        <v>-0.11157389</v>
      </c>
    </row>
    <row r="21" spans="2:41" x14ac:dyDescent="0.3">
      <c r="B21">
        <v>1</v>
      </c>
      <c r="C21">
        <v>0.22798495199999999</v>
      </c>
      <c r="D21">
        <v>0.15294571500000001</v>
      </c>
      <c r="E21">
        <v>0.179877175</v>
      </c>
      <c r="F21">
        <v>0.36494586000000001</v>
      </c>
      <c r="G21">
        <v>0.34792772</v>
      </c>
      <c r="H21">
        <v>0.13661021000000001</v>
      </c>
      <c r="I21">
        <v>-4.2582370000000001E-2</v>
      </c>
      <c r="J21">
        <v>0.26472221000000001</v>
      </c>
      <c r="K21">
        <v>0.119318443</v>
      </c>
      <c r="L21">
        <v>0.46893533999999998</v>
      </c>
      <c r="M21">
        <v>0.37041429999999997</v>
      </c>
      <c r="N21">
        <v>-6.1711079999999998E-3</v>
      </c>
      <c r="O21">
        <v>-6.8812599000000002E-2</v>
      </c>
      <c r="P21">
        <v>6.0921629999999997E-2</v>
      </c>
      <c r="Q21">
        <v>0.11015374</v>
      </c>
      <c r="R21">
        <v>-5.950014E-2</v>
      </c>
      <c r="S21">
        <v>3.3100358000000003E-2</v>
      </c>
      <c r="T21">
        <v>9.8246719999999996E-2</v>
      </c>
      <c r="U21">
        <v>-3.6818179999999999E-3</v>
      </c>
      <c r="V21">
        <v>2.0880339899999999E-2</v>
      </c>
      <c r="W21">
        <v>0.15611551309999999</v>
      </c>
      <c r="X21">
        <v>-0.134560122</v>
      </c>
      <c r="Y21">
        <v>0.16893912799999999</v>
      </c>
      <c r="Z21">
        <v>-0.16924513999999999</v>
      </c>
      <c r="AA21">
        <v>-2.4112554000000001E-2</v>
      </c>
      <c r="AB21">
        <v>0.11958316500000001</v>
      </c>
      <c r="AC21">
        <v>9.6128410999999997E-2</v>
      </c>
      <c r="AD21">
        <v>6.6681285000000007E-2</v>
      </c>
      <c r="AE21">
        <v>4.1085310999999999E-2</v>
      </c>
      <c r="AF21">
        <v>0.36394905</v>
      </c>
      <c r="AG21">
        <v>1</v>
      </c>
      <c r="AJ21" s="3" t="s">
        <v>7</v>
      </c>
      <c r="AK21" s="10">
        <v>-0.30405896999999998</v>
      </c>
      <c r="AL21" s="3" t="s">
        <v>5</v>
      </c>
      <c r="AM21" s="10">
        <v>0.25566502000000002</v>
      </c>
      <c r="AN21" s="3" t="s">
        <v>13</v>
      </c>
      <c r="AO21" s="10">
        <v>0.10386131</v>
      </c>
    </row>
    <row r="22" spans="2:41" x14ac:dyDescent="0.3">
      <c r="B22">
        <v>0.110153742</v>
      </c>
      <c r="C22">
        <v>0.23546356299999999</v>
      </c>
      <c r="D22">
        <v>0.22164862199999999</v>
      </c>
      <c r="E22">
        <v>0.225933936</v>
      </c>
      <c r="F22">
        <v>0.33507609799999999</v>
      </c>
      <c r="G22">
        <v>4.0026569999999997E-2</v>
      </c>
      <c r="H22">
        <v>0.21538044000000001</v>
      </c>
      <c r="I22">
        <v>-0.11477345</v>
      </c>
      <c r="J22">
        <v>0.27626936000000002</v>
      </c>
      <c r="K22">
        <v>6.0723704000000003E-2</v>
      </c>
      <c r="L22">
        <v>0.30051773199999998</v>
      </c>
      <c r="M22">
        <v>0.32267673000000002</v>
      </c>
      <c r="N22">
        <v>-1.1890424E-2</v>
      </c>
      <c r="O22">
        <v>9.0451741000000002E-2</v>
      </c>
      <c r="P22">
        <v>0.12826712000000001</v>
      </c>
      <c r="Q22">
        <v>1</v>
      </c>
      <c r="R22">
        <v>2.6638116999999999E-2</v>
      </c>
      <c r="S22">
        <v>0.108847288</v>
      </c>
      <c r="T22">
        <v>0.29771792000000002</v>
      </c>
      <c r="U22">
        <v>-9.0465488999999996E-2</v>
      </c>
      <c r="V22">
        <v>-3.5052584499999997E-2</v>
      </c>
      <c r="W22">
        <v>0.28156746230000002</v>
      </c>
      <c r="X22">
        <v>-0.100440643</v>
      </c>
      <c r="Y22">
        <v>0.163689212</v>
      </c>
      <c r="Z22">
        <v>-0.19654464999999999</v>
      </c>
      <c r="AA22">
        <v>-2.7124559999999999E-2</v>
      </c>
      <c r="AB22">
        <v>0.12788808900000001</v>
      </c>
      <c r="AC22">
        <v>0.11032085599999999</v>
      </c>
      <c r="AD22">
        <v>0.17380668399999999</v>
      </c>
      <c r="AE22">
        <v>0.14487881</v>
      </c>
      <c r="AF22">
        <v>0.36841559000000002</v>
      </c>
      <c r="AG22">
        <v>1</v>
      </c>
      <c r="AJ22" s="3" t="s">
        <v>0</v>
      </c>
      <c r="AK22" s="10">
        <v>0.36394905</v>
      </c>
      <c r="AL22" s="3" t="s">
        <v>15</v>
      </c>
      <c r="AM22" s="10">
        <v>0.36841559000000002</v>
      </c>
      <c r="AN22" s="3" t="s">
        <v>29</v>
      </c>
      <c r="AO22" s="10">
        <v>0.11825148000000001</v>
      </c>
    </row>
    <row r="23" spans="2:41" x14ac:dyDescent="0.3">
      <c r="B23">
        <v>0.15294571500000001</v>
      </c>
      <c r="C23">
        <v>0.46002378700000002</v>
      </c>
      <c r="D23">
        <v>1</v>
      </c>
      <c r="E23">
        <v>0.40173387100000002</v>
      </c>
      <c r="F23">
        <v>0.35590461000000001</v>
      </c>
      <c r="G23">
        <v>0.13375115000000001</v>
      </c>
      <c r="H23">
        <v>0.62078253999999999</v>
      </c>
      <c r="I23">
        <v>-0.29966688000000002</v>
      </c>
      <c r="J23">
        <v>0.40941680000000003</v>
      </c>
      <c r="K23">
        <v>-0.22896665799999999</v>
      </c>
      <c r="L23">
        <v>0.36165711499999997</v>
      </c>
      <c r="M23">
        <v>0.62670630000000005</v>
      </c>
      <c r="N23">
        <v>-0.13514807600000001</v>
      </c>
      <c r="O23">
        <v>8.1448435999999999E-2</v>
      </c>
      <c r="P23">
        <v>0.16535147</v>
      </c>
      <c r="Q23">
        <v>0.22164861999999999</v>
      </c>
      <c r="R23">
        <v>6.6934949999999998E-3</v>
      </c>
      <c r="S23">
        <v>9.7884744999999995E-2</v>
      </c>
      <c r="T23">
        <v>3.4657800000000002E-2</v>
      </c>
      <c r="U23">
        <v>-2.2603161E-2</v>
      </c>
      <c r="V23">
        <v>3.3874409000000001E-3</v>
      </c>
      <c r="W23">
        <v>5.8928635399999998E-2</v>
      </c>
      <c r="X23">
        <v>-0.179269342</v>
      </c>
      <c r="Y23">
        <v>0.24125284</v>
      </c>
      <c r="Z23">
        <v>-0.22681403999999999</v>
      </c>
      <c r="AA23">
        <v>-1.4329998E-2</v>
      </c>
      <c r="AB23">
        <v>8.7930460000000002E-2</v>
      </c>
      <c r="AC23">
        <v>0.118509344</v>
      </c>
      <c r="AD23">
        <v>9.0792577999999999E-2</v>
      </c>
      <c r="AE23">
        <v>8.9091466999999994E-2</v>
      </c>
      <c r="AF23">
        <v>0.38557235000000001</v>
      </c>
    </row>
    <row r="24" spans="2:41" x14ac:dyDescent="0.3">
      <c r="B24">
        <v>0.13661020900000001</v>
      </c>
      <c r="C24">
        <v>0.50219805100000003</v>
      </c>
      <c r="D24">
        <v>0.62078253999999999</v>
      </c>
      <c r="E24">
        <v>0.44920765400000001</v>
      </c>
      <c r="F24">
        <v>0.402113577</v>
      </c>
      <c r="G24">
        <v>-0.16434283</v>
      </c>
      <c r="H24">
        <v>1</v>
      </c>
      <c r="I24">
        <v>-0.34435427000000002</v>
      </c>
      <c r="J24">
        <v>0.47174062999999999</v>
      </c>
      <c r="K24">
        <v>-0.54168634500000001</v>
      </c>
      <c r="L24">
        <v>0.26180647400000001</v>
      </c>
      <c r="M24">
        <v>0.81546335999999997</v>
      </c>
      <c r="N24">
        <v>0.14730047900000001</v>
      </c>
      <c r="O24">
        <v>0.104152359</v>
      </c>
      <c r="P24">
        <v>6.437843E-2</v>
      </c>
      <c r="Q24">
        <v>0.21538044000000001</v>
      </c>
      <c r="R24">
        <v>0.146856774</v>
      </c>
      <c r="S24">
        <v>7.0911414000000006E-2</v>
      </c>
      <c r="T24">
        <v>3.7679520000000001E-2</v>
      </c>
      <c r="U24">
        <v>-4.7650044000000003E-2</v>
      </c>
      <c r="V24">
        <v>-7.1900235500000007E-2</v>
      </c>
      <c r="W24">
        <v>3.6260557300000003E-2</v>
      </c>
      <c r="X24">
        <v>-0.18994372300000001</v>
      </c>
      <c r="Y24">
        <v>0.25181702299999997</v>
      </c>
      <c r="Z24">
        <v>-0.26571528999999999</v>
      </c>
      <c r="AA24">
        <v>-7.6849143999999994E-2</v>
      </c>
      <c r="AB24">
        <v>7.9807821000000001E-2</v>
      </c>
      <c r="AC24">
        <v>5.7509896999999997E-2</v>
      </c>
      <c r="AD24">
        <v>0.245220668</v>
      </c>
      <c r="AE24">
        <v>0.20236963799999999</v>
      </c>
      <c r="AF24">
        <v>0.40674032999999998</v>
      </c>
    </row>
    <row r="25" spans="2:41" x14ac:dyDescent="0.3">
      <c r="B25">
        <v>0.179877175</v>
      </c>
      <c r="C25">
        <v>0.48375105099999999</v>
      </c>
      <c r="D25">
        <v>0.40173387100000002</v>
      </c>
      <c r="E25">
        <v>1</v>
      </c>
      <c r="F25">
        <v>0.50604827399999996</v>
      </c>
      <c r="G25">
        <v>5.3598310000000003E-2</v>
      </c>
      <c r="H25">
        <v>0.44920765000000001</v>
      </c>
      <c r="I25">
        <v>-0.24960547999999999</v>
      </c>
      <c r="J25">
        <v>0.45238107</v>
      </c>
      <c r="K25">
        <v>7.4236069999999996E-3</v>
      </c>
      <c r="L25">
        <v>0.450667912</v>
      </c>
      <c r="M25">
        <v>0.56670379000000004</v>
      </c>
      <c r="N25">
        <v>-4.2523195999999999E-2</v>
      </c>
      <c r="O25">
        <v>8.8343697999999998E-2</v>
      </c>
      <c r="P25">
        <v>0.13058102999999999</v>
      </c>
      <c r="Q25">
        <v>0.22593394</v>
      </c>
      <c r="R25">
        <v>5.2111290999999997E-2</v>
      </c>
      <c r="S25">
        <v>6.2795117999999997E-2</v>
      </c>
      <c r="T25">
        <v>7.5839240000000002E-2</v>
      </c>
      <c r="U25">
        <v>-4.3315719999999997E-3</v>
      </c>
      <c r="V25">
        <v>8.4057193999999991E-3</v>
      </c>
      <c r="W25">
        <v>6.3004851099999995E-2</v>
      </c>
      <c r="X25">
        <v>-0.29920544100000002</v>
      </c>
      <c r="Y25">
        <v>0.316305118</v>
      </c>
      <c r="Z25">
        <v>-0.34021909</v>
      </c>
      <c r="AA25">
        <v>-2.8137028000000001E-2</v>
      </c>
      <c r="AB25">
        <v>9.4472932999999995E-2</v>
      </c>
      <c r="AC25">
        <v>0.14312159999999999</v>
      </c>
      <c r="AD25">
        <v>0.28232479599999999</v>
      </c>
      <c r="AE25">
        <v>0.237083922</v>
      </c>
      <c r="AF25">
        <v>0.51520836000000003</v>
      </c>
      <c r="AG25">
        <v>1</v>
      </c>
    </row>
    <row r="26" spans="2:41" x14ac:dyDescent="0.3">
      <c r="B26">
        <v>0.16893912799999999</v>
      </c>
      <c r="C26">
        <v>0.35953374399999999</v>
      </c>
      <c r="D26">
        <v>0.24125284</v>
      </c>
      <c r="E26">
        <v>0.316305118</v>
      </c>
      <c r="F26">
        <v>0.43077278899999999</v>
      </c>
      <c r="G26">
        <v>-3.2315499999999997E-2</v>
      </c>
      <c r="H26">
        <v>0.25181702</v>
      </c>
      <c r="I26">
        <v>-0.30074731999999998</v>
      </c>
      <c r="J26">
        <v>0.39111766999999997</v>
      </c>
      <c r="K26">
        <v>0.148540069</v>
      </c>
      <c r="L26">
        <v>0.347358691</v>
      </c>
      <c r="M26">
        <v>0.37467430000000002</v>
      </c>
      <c r="N26">
        <v>-0.151059586</v>
      </c>
      <c r="O26">
        <v>0.100392045</v>
      </c>
      <c r="P26">
        <v>0.12253397000000001</v>
      </c>
      <c r="Q26">
        <v>0.16368921</v>
      </c>
      <c r="R26">
        <v>-1.6761446999999999E-2</v>
      </c>
      <c r="S26">
        <v>6.4181158000000002E-2</v>
      </c>
      <c r="T26">
        <v>0.16529696999999999</v>
      </c>
      <c r="U26">
        <v>4.9956949999999996E-3</v>
      </c>
      <c r="V26">
        <v>1.0099398900000001E-2</v>
      </c>
      <c r="W26">
        <v>0.19162479230000001</v>
      </c>
      <c r="X26">
        <v>-0.688197226</v>
      </c>
      <c r="Y26">
        <v>1</v>
      </c>
      <c r="Z26">
        <v>-0.81123381999999999</v>
      </c>
      <c r="AA26">
        <v>-0.289267459</v>
      </c>
      <c r="AB26">
        <v>-1.1409258E-2</v>
      </c>
      <c r="AC26">
        <v>-6.5710278999999996E-2</v>
      </c>
      <c r="AD26">
        <v>0.15522391299999999</v>
      </c>
      <c r="AE26">
        <v>0.13173533700000001</v>
      </c>
      <c r="AF26">
        <v>0.56623650000000003</v>
      </c>
    </row>
    <row r="27" spans="2:41" x14ac:dyDescent="0.3">
      <c r="B27">
        <v>0.26472221000000001</v>
      </c>
      <c r="C27">
        <v>0.469272888</v>
      </c>
      <c r="D27">
        <v>0.40941679800000003</v>
      </c>
      <c r="E27">
        <v>0.452381068</v>
      </c>
      <c r="F27">
        <v>0.72243324200000003</v>
      </c>
      <c r="G27">
        <v>-1.9014079999999999E-2</v>
      </c>
      <c r="H27">
        <v>0.47174062999999999</v>
      </c>
      <c r="I27">
        <v>-0.82035776999999999</v>
      </c>
      <c r="J27">
        <v>1</v>
      </c>
      <c r="K27">
        <v>0.48024344299999999</v>
      </c>
      <c r="L27">
        <v>0.59891484699999997</v>
      </c>
      <c r="M27">
        <v>0.67027532999999995</v>
      </c>
      <c r="N27">
        <v>6.1875450999999998E-2</v>
      </c>
      <c r="O27">
        <v>0.110802762</v>
      </c>
      <c r="P27">
        <v>0.13617773</v>
      </c>
      <c r="Q27">
        <v>0.27626936000000002</v>
      </c>
      <c r="R27">
        <v>8.8686652000000005E-2</v>
      </c>
      <c r="S27">
        <v>6.4571621999999995E-2</v>
      </c>
      <c r="T27">
        <v>0.12313230999999999</v>
      </c>
      <c r="U27">
        <v>-4.6357402999999998E-2</v>
      </c>
      <c r="V27">
        <v>-6.1010403999999997E-2</v>
      </c>
      <c r="W27">
        <v>0.12839645760000001</v>
      </c>
      <c r="X27">
        <v>-0.41116733599999999</v>
      </c>
      <c r="Y27">
        <v>0.391117675</v>
      </c>
      <c r="Z27">
        <v>-0.38185396999999999</v>
      </c>
      <c r="AA27">
        <v>-5.0183119999999998E-2</v>
      </c>
      <c r="AB27">
        <v>9.7554690999999999E-2</v>
      </c>
      <c r="AC27">
        <v>0.112880592</v>
      </c>
      <c r="AD27">
        <v>0.17191722100000001</v>
      </c>
      <c r="AE27">
        <v>9.3471481999999995E-2</v>
      </c>
      <c r="AF27">
        <v>0.62582342000000002</v>
      </c>
      <c r="AG27">
        <v>1</v>
      </c>
    </row>
    <row r="28" spans="2:41" x14ac:dyDescent="0.3">
      <c r="B28">
        <v>0.22798495199999999</v>
      </c>
      <c r="C28">
        <v>1</v>
      </c>
      <c r="D28">
        <v>0.46002378700000002</v>
      </c>
      <c r="E28">
        <v>0.48375105099999999</v>
      </c>
      <c r="F28">
        <v>0.58226794900000001</v>
      </c>
      <c r="G28">
        <v>0.18375963000000001</v>
      </c>
      <c r="H28">
        <v>0.50219804999999995</v>
      </c>
      <c r="I28">
        <v>-0.22567545</v>
      </c>
      <c r="J28">
        <v>0.46927289</v>
      </c>
      <c r="K28">
        <v>-2.611223E-2</v>
      </c>
      <c r="L28">
        <v>0.57536306400000004</v>
      </c>
      <c r="M28">
        <v>0.67553384999999999</v>
      </c>
      <c r="N28">
        <v>-0.16883194800000001</v>
      </c>
      <c r="O28">
        <v>9.8683810999999996E-2</v>
      </c>
      <c r="P28">
        <v>0.20391451999999999</v>
      </c>
      <c r="Q28">
        <v>0.23546355999999999</v>
      </c>
      <c r="R28">
        <v>-2.0512529999999998E-3</v>
      </c>
      <c r="S28">
        <v>6.6990849999999996E-3</v>
      </c>
      <c r="T28">
        <v>0.13282500999999999</v>
      </c>
      <c r="U28">
        <v>2.9316087000000001E-2</v>
      </c>
      <c r="V28">
        <v>-1.9295134500000002E-2</v>
      </c>
      <c r="W28">
        <v>0.15319960790000001</v>
      </c>
      <c r="X28">
        <v>-0.41859575599999999</v>
      </c>
      <c r="Y28">
        <v>0.35953374399999999</v>
      </c>
      <c r="Z28">
        <v>-0.29754543999999999</v>
      </c>
      <c r="AA28">
        <v>-0.108055954</v>
      </c>
      <c r="AB28">
        <v>0.166114398</v>
      </c>
      <c r="AC28">
        <v>0.201237901</v>
      </c>
      <c r="AD28">
        <v>0.21304669100000001</v>
      </c>
      <c r="AE28">
        <v>0.144393354</v>
      </c>
      <c r="AF28">
        <v>0.65109286</v>
      </c>
      <c r="AG28">
        <v>1</v>
      </c>
    </row>
    <row r="29" spans="2:41" x14ac:dyDescent="0.3">
      <c r="B29">
        <v>0.370414295</v>
      </c>
      <c r="C29">
        <v>0.67553384500000002</v>
      </c>
      <c r="D29">
        <v>0.62670630299999996</v>
      </c>
      <c r="E29">
        <v>0.56670379500000001</v>
      </c>
      <c r="F29">
        <v>0.796562196</v>
      </c>
      <c r="G29">
        <v>0.2188783</v>
      </c>
      <c r="H29">
        <v>0.81546335999999997</v>
      </c>
      <c r="I29">
        <v>-0.33025887999999998</v>
      </c>
      <c r="J29">
        <v>0.67027532999999995</v>
      </c>
      <c r="K29">
        <v>-0.15241793000000001</v>
      </c>
      <c r="L29">
        <v>0.77198629799999996</v>
      </c>
      <c r="M29">
        <v>1</v>
      </c>
      <c r="N29">
        <v>8.4071270000000003E-2</v>
      </c>
      <c r="O29">
        <v>0.104259616</v>
      </c>
      <c r="P29">
        <v>0.19475654000000001</v>
      </c>
      <c r="Q29">
        <v>0.32267673000000002</v>
      </c>
      <c r="R29">
        <v>0.109316254</v>
      </c>
      <c r="S29">
        <v>6.2231890999999998E-2</v>
      </c>
      <c r="T29">
        <v>0.10424946</v>
      </c>
      <c r="U29">
        <v>-2.5524778000000001E-2</v>
      </c>
      <c r="V29">
        <v>-3.6383299600000002E-2</v>
      </c>
      <c r="W29">
        <v>0.189018149</v>
      </c>
      <c r="X29">
        <v>-0.44706406199999998</v>
      </c>
      <c r="Y29">
        <v>0.37467430000000002</v>
      </c>
      <c r="Z29">
        <v>-0.37782177</v>
      </c>
      <c r="AA29">
        <v>-7.5395465999999994E-2</v>
      </c>
      <c r="AB29">
        <v>0.199819211</v>
      </c>
      <c r="AC29">
        <v>0.20686452</v>
      </c>
      <c r="AD29">
        <v>0.230701499</v>
      </c>
      <c r="AE29">
        <v>0.16967748699999999</v>
      </c>
      <c r="AF29">
        <v>0.73848027999999999</v>
      </c>
    </row>
    <row r="30" spans="2:41" x14ac:dyDescent="0.3">
      <c r="B30">
        <v>0.46893533999999998</v>
      </c>
      <c r="C30">
        <v>0.57536306400000004</v>
      </c>
      <c r="D30">
        <v>0.36165711499999997</v>
      </c>
      <c r="E30">
        <v>0.450667912</v>
      </c>
      <c r="F30">
        <v>0.88625685399999998</v>
      </c>
      <c r="G30">
        <v>0.54669257000000004</v>
      </c>
      <c r="H30">
        <v>0.26180647000000001</v>
      </c>
      <c r="I30">
        <v>-0.17185401</v>
      </c>
      <c r="J30">
        <v>0.59891485</v>
      </c>
      <c r="K30">
        <v>0.339656452</v>
      </c>
      <c r="L30">
        <v>1</v>
      </c>
      <c r="M30">
        <v>0.77198630000000001</v>
      </c>
      <c r="N30">
        <v>-1.9682986999999999E-2</v>
      </c>
      <c r="O30">
        <v>6.1043285000000003E-2</v>
      </c>
      <c r="P30">
        <v>0.25345406999999998</v>
      </c>
      <c r="Q30">
        <v>0.30051772999999998</v>
      </c>
      <c r="R30">
        <v>2.1330662E-2</v>
      </c>
      <c r="S30">
        <v>2.7685916000000001E-2</v>
      </c>
      <c r="T30">
        <v>0.13366254</v>
      </c>
      <c r="U30">
        <v>8.9726179999999999E-3</v>
      </c>
      <c r="V30">
        <v>1.83298239E-2</v>
      </c>
      <c r="W30">
        <v>0.27500794670000001</v>
      </c>
      <c r="X30">
        <v>-0.53796470799999996</v>
      </c>
      <c r="Y30">
        <v>0.347358691</v>
      </c>
      <c r="Z30">
        <v>-0.33782498999999999</v>
      </c>
      <c r="AA30">
        <v>-4.1893112000000003E-2</v>
      </c>
      <c r="AB30">
        <v>0.246236649</v>
      </c>
      <c r="AC30">
        <v>0.28198680999999998</v>
      </c>
      <c r="AD30">
        <v>0.114724621</v>
      </c>
      <c r="AE30">
        <v>5.9958513999999997E-2</v>
      </c>
      <c r="AF30">
        <v>0.78461820000000004</v>
      </c>
      <c r="AG30">
        <v>1</v>
      </c>
    </row>
    <row r="31" spans="2:41" x14ac:dyDescent="0.3">
      <c r="B31">
        <v>0.36494586000000001</v>
      </c>
      <c r="C31">
        <v>0.58226794900000001</v>
      </c>
      <c r="D31">
        <v>0.35590461000000001</v>
      </c>
      <c r="E31">
        <v>0.50604827399999996</v>
      </c>
      <c r="F31">
        <v>1</v>
      </c>
      <c r="G31">
        <v>9.6662129999999999E-2</v>
      </c>
      <c r="H31">
        <v>0.40211358000000003</v>
      </c>
      <c r="I31">
        <v>-0.24268450999999999</v>
      </c>
      <c r="J31">
        <v>0.72243323999999998</v>
      </c>
      <c r="K31">
        <v>0.32398152800000002</v>
      </c>
      <c r="L31">
        <v>0.88625685399999998</v>
      </c>
      <c r="M31">
        <v>0.7965622</v>
      </c>
      <c r="N31">
        <v>6.3328969999999997E-3</v>
      </c>
      <c r="O31">
        <v>0.10073388899999999</v>
      </c>
      <c r="P31">
        <v>0.21967073000000001</v>
      </c>
      <c r="Q31">
        <v>0.33507609999999999</v>
      </c>
      <c r="R31">
        <v>4.5509150999999998E-2</v>
      </c>
      <c r="S31">
        <v>2.4429929999999999E-2</v>
      </c>
      <c r="T31">
        <v>0.13849370999999999</v>
      </c>
      <c r="U31">
        <v>-1.5968172999999999E-2</v>
      </c>
      <c r="V31">
        <v>-4.1801064899999997E-2</v>
      </c>
      <c r="W31">
        <v>0.21575560990000001</v>
      </c>
      <c r="X31">
        <v>-0.60315560499999998</v>
      </c>
      <c r="Y31">
        <v>0.43077278899999999</v>
      </c>
      <c r="Z31">
        <v>-0.41817689000000002</v>
      </c>
      <c r="AA31">
        <v>-6.7361776999999998E-2</v>
      </c>
      <c r="AB31">
        <v>0.187859734</v>
      </c>
      <c r="AC31">
        <v>0.23788889699999999</v>
      </c>
      <c r="AD31">
        <v>0.161334007</v>
      </c>
      <c r="AE31">
        <v>8.4730201000000005E-2</v>
      </c>
      <c r="AF31">
        <v>0.79122782999999997</v>
      </c>
      <c r="AG31">
        <v>1</v>
      </c>
    </row>
    <row r="32" spans="2:41" x14ac:dyDescent="0.3">
      <c r="B32">
        <v>0.363949048</v>
      </c>
      <c r="C32">
        <v>0.651092856</v>
      </c>
      <c r="D32">
        <v>0.38557235099999998</v>
      </c>
      <c r="E32">
        <v>0.51520836299999995</v>
      </c>
      <c r="F32">
        <v>0.79122782800000002</v>
      </c>
      <c r="G32">
        <v>0.25566502000000002</v>
      </c>
      <c r="H32">
        <v>0.40674032999999998</v>
      </c>
      <c r="I32">
        <v>-0.30405896999999998</v>
      </c>
      <c r="J32">
        <v>0.62582342000000002</v>
      </c>
      <c r="K32">
        <v>0.225463317</v>
      </c>
      <c r="L32">
        <v>0.78461819499999996</v>
      </c>
      <c r="M32">
        <v>0.73848027999999999</v>
      </c>
      <c r="N32">
        <v>-6.7768243000000006E-2</v>
      </c>
      <c r="O32">
        <v>0.103861313</v>
      </c>
      <c r="P32">
        <v>0.27920694000000001</v>
      </c>
      <c r="Q32">
        <v>0.36841559000000002</v>
      </c>
      <c r="R32">
        <v>6.9287030999999999E-2</v>
      </c>
      <c r="S32">
        <v>-2.8336300000000002E-3</v>
      </c>
      <c r="T32">
        <v>0.24155035999999999</v>
      </c>
      <c r="U32">
        <v>-3.3227974E-2</v>
      </c>
      <c r="V32">
        <v>-5.3524461400000001E-2</v>
      </c>
      <c r="W32">
        <v>0.29851777039999999</v>
      </c>
      <c r="X32">
        <v>-0.65756368399999998</v>
      </c>
      <c r="Y32">
        <v>0.56623649700000001</v>
      </c>
      <c r="Z32">
        <v>-0.49855273</v>
      </c>
      <c r="AA32">
        <v>-0.11157389199999999</v>
      </c>
      <c r="AB32">
        <v>0.25023310599999998</v>
      </c>
      <c r="AC32">
        <v>0.26788562100000002</v>
      </c>
      <c r="AD32">
        <v>0.18723614499999999</v>
      </c>
      <c r="AE32">
        <v>0.118251485</v>
      </c>
      <c r="AF32">
        <v>1</v>
      </c>
    </row>
  </sheetData>
  <autoFilter ref="A1:AG32" xr:uid="{A76ADCC9-D72F-4F46-9974-A89E23922951}">
    <sortState xmlns:xlrd2="http://schemas.microsoft.com/office/spreadsheetml/2017/richdata2" ref="A2:AG32">
      <sortCondition ref="AF1:AF32"/>
    </sortState>
  </autoFilter>
  <conditionalFormatting sqref="B2:AE32">
    <cfRule type="cellIs" dxfId="12" priority="7" operator="lessThan">
      <formula>-0.7</formula>
    </cfRule>
    <cfRule type="cellIs" dxfId="11" priority="8" operator="greaterThan">
      <formula>0.7</formula>
    </cfRule>
  </conditionalFormatting>
  <conditionalFormatting sqref="AG2:AG3 AF2:AF32 AG5:AG7 AG10 AG12 AG17:AG18 AG24 AG29 AG31 AI6:AI8 AO20">
    <cfRule type="cellIs" dxfId="10" priority="9" operator="greaterThan">
      <formula>0.6</formula>
    </cfRule>
  </conditionalFormatting>
  <conditionalFormatting sqref="AO5:AO7 AM14:AM22 AO21:AO22 AO14:AO16 AK14:AK22">
    <cfRule type="cellIs" dxfId="9" priority="2" operator="between">
      <formula>0.2</formula>
      <formula>0.6</formula>
    </cfRule>
    <cfRule type="cellIs" dxfId="8" priority="4" operator="lessThan">
      <formula>-0.6</formula>
    </cfRule>
    <cfRule type="cellIs" dxfId="7" priority="5" operator="greaterThan">
      <formula>0.6</formula>
    </cfRule>
  </conditionalFormatting>
  <conditionalFormatting sqref="AO17:AO19">
    <cfRule type="cellIs" dxfId="6" priority="1" operator="greaterThan">
      <formula>0.6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B631-C195-4D73-89F5-DCF218A8F5F1}">
  <dimension ref="A4:V38"/>
  <sheetViews>
    <sheetView topLeftCell="A2" workbookViewId="0">
      <selection activeCell="M23" sqref="M23:R23"/>
    </sheetView>
  </sheetViews>
  <sheetFormatPr defaultRowHeight="14.4" x14ac:dyDescent="0.3"/>
  <cols>
    <col min="1" max="1" width="22.88671875" bestFit="1" customWidth="1"/>
    <col min="2" max="2" width="8.44140625" bestFit="1" customWidth="1"/>
    <col min="3" max="5" width="9.44140625" bestFit="1" customWidth="1"/>
  </cols>
  <sheetData>
    <row r="4" spans="1:5" x14ac:dyDescent="0.3">
      <c r="A4" s="3"/>
      <c r="B4" s="3" t="s">
        <v>36</v>
      </c>
      <c r="C4" s="3" t="s">
        <v>37</v>
      </c>
      <c r="D4" s="3" t="s">
        <v>34</v>
      </c>
      <c r="E4" s="3" t="s">
        <v>38</v>
      </c>
    </row>
    <row r="5" spans="1:5" x14ac:dyDescent="0.3">
      <c r="A5" s="3" t="s">
        <v>4</v>
      </c>
      <c r="B5" s="11">
        <v>279.86399999999998</v>
      </c>
      <c r="C5" s="11">
        <v>2247.2399999999998</v>
      </c>
      <c r="D5" s="11">
        <v>1022.967</v>
      </c>
      <c r="E5" s="11">
        <v>1009.26</v>
      </c>
    </row>
    <row r="6" spans="1:5" x14ac:dyDescent="0.3">
      <c r="A6" s="3" t="s">
        <v>5</v>
      </c>
      <c r="B6" s="11">
        <v>0</v>
      </c>
      <c r="C6" s="11">
        <v>1249.28</v>
      </c>
      <c r="D6" s="11">
        <v>31.983799999999999</v>
      </c>
      <c r="E6" s="11">
        <v>0</v>
      </c>
    </row>
    <row r="7" spans="1:5" x14ac:dyDescent="0.3">
      <c r="A7" s="3" t="s">
        <v>6</v>
      </c>
      <c r="B7" s="11">
        <v>0</v>
      </c>
      <c r="C7" s="11">
        <v>1600</v>
      </c>
      <c r="D7" s="11">
        <v>439.77379999999999</v>
      </c>
      <c r="E7" s="11">
        <v>451.5</v>
      </c>
    </row>
    <row r="8" spans="1:5" x14ac:dyDescent="0.3">
      <c r="A8" s="3" t="s">
        <v>7</v>
      </c>
      <c r="B8" s="11">
        <v>0</v>
      </c>
      <c r="C8" s="11">
        <v>1331</v>
      </c>
      <c r="D8" s="11">
        <v>57.916310000000003</v>
      </c>
      <c r="E8" s="11">
        <v>0</v>
      </c>
    </row>
    <row r="9" spans="1:5" x14ac:dyDescent="0.3">
      <c r="A9" s="3" t="s">
        <v>8</v>
      </c>
      <c r="B9" s="11">
        <v>0</v>
      </c>
      <c r="C9" s="11">
        <v>1978</v>
      </c>
      <c r="D9" s="11">
        <v>998.86699999999996</v>
      </c>
      <c r="E9" s="11">
        <v>1040</v>
      </c>
    </row>
    <row r="10" spans="1:5" x14ac:dyDescent="0.3">
      <c r="A10" s="3" t="s">
        <v>9</v>
      </c>
      <c r="B10" s="11">
        <v>0</v>
      </c>
      <c r="C10" s="11">
        <v>1826</v>
      </c>
      <c r="D10" s="11">
        <v>544.58370000000002</v>
      </c>
      <c r="E10" s="11">
        <v>531</v>
      </c>
    </row>
    <row r="11" spans="1:5" x14ac:dyDescent="0.3">
      <c r="A11" s="3" t="s">
        <v>10</v>
      </c>
      <c r="B11" s="11">
        <v>279.86399999999998</v>
      </c>
      <c r="C11" s="11">
        <v>3496.52</v>
      </c>
      <c r="D11" s="11">
        <v>1054.951</v>
      </c>
      <c r="E11" s="11">
        <v>1020.6</v>
      </c>
    </row>
    <row r="12" spans="1:5" x14ac:dyDescent="0.3">
      <c r="A12" s="3" t="s">
        <v>11</v>
      </c>
      <c r="B12" s="11">
        <v>279.86399999999998</v>
      </c>
      <c r="C12" s="11">
        <v>3578</v>
      </c>
      <c r="D12" s="11">
        <v>1493.91</v>
      </c>
      <c r="E12" s="11">
        <v>1501.5050000000001</v>
      </c>
    </row>
    <row r="13" spans="1:5" x14ac:dyDescent="0.3">
      <c r="A13" s="3" t="s">
        <v>15</v>
      </c>
      <c r="B13" s="11">
        <v>5131.0640000000003</v>
      </c>
      <c r="C13" s="11">
        <v>9635.5810000000001</v>
      </c>
      <c r="D13" s="11">
        <v>6998.3289999999997</v>
      </c>
      <c r="E13" s="11">
        <v>6891.5519999999997</v>
      </c>
    </row>
    <row r="14" spans="1:5" x14ac:dyDescent="0.3">
      <c r="A14" s="3" t="s">
        <v>22</v>
      </c>
      <c r="B14" s="11">
        <v>2</v>
      </c>
      <c r="C14" s="11">
        <v>74</v>
      </c>
      <c r="D14" s="11">
        <v>25.570820000000001</v>
      </c>
      <c r="E14" s="11">
        <v>23</v>
      </c>
    </row>
    <row r="15" spans="1:5" x14ac:dyDescent="0.3">
      <c r="A15" s="3" t="s">
        <v>26</v>
      </c>
      <c r="B15" s="11">
        <v>0</v>
      </c>
      <c r="C15" s="11">
        <v>748.8</v>
      </c>
      <c r="D15" s="11">
        <v>82.036910000000006</v>
      </c>
      <c r="E15" s="11">
        <v>0</v>
      </c>
    </row>
    <row r="16" spans="1:5" x14ac:dyDescent="0.3">
      <c r="A16" s="3" t="s">
        <v>28</v>
      </c>
      <c r="B16" s="11">
        <v>0</v>
      </c>
      <c r="C16" s="11">
        <v>663</v>
      </c>
      <c r="D16" s="11">
        <v>132.77670000000001</v>
      </c>
      <c r="E16" s="11">
        <v>0</v>
      </c>
    </row>
    <row r="17" spans="1:22" x14ac:dyDescent="0.3">
      <c r="A17" s="3" t="s">
        <v>30</v>
      </c>
      <c r="B17" s="11">
        <v>68099.89</v>
      </c>
      <c r="C17" s="11">
        <v>305608.2</v>
      </c>
      <c r="D17" s="11">
        <v>148945.70000000001</v>
      </c>
      <c r="E17" s="11">
        <v>144445</v>
      </c>
    </row>
    <row r="20" spans="1:22" x14ac:dyDescent="0.3">
      <c r="A20" s="13" t="s">
        <v>41</v>
      </c>
      <c r="B20" s="12">
        <v>1</v>
      </c>
      <c r="C20" s="12">
        <v>1.5</v>
      </c>
      <c r="D20" s="12">
        <v>1.75</v>
      </c>
      <c r="E20" s="12">
        <v>2</v>
      </c>
      <c r="F20" s="12">
        <v>2.25</v>
      </c>
      <c r="G20" s="12">
        <v>2.5</v>
      </c>
      <c r="H20" s="12">
        <v>2.75</v>
      </c>
    </row>
    <row r="21" spans="1:22" x14ac:dyDescent="0.3">
      <c r="A21" s="12"/>
      <c r="B21" s="12">
        <v>159</v>
      </c>
      <c r="C21" s="12">
        <v>113</v>
      </c>
      <c r="D21" s="12">
        <v>78</v>
      </c>
      <c r="E21" s="12">
        <v>43</v>
      </c>
      <c r="F21" s="12">
        <v>41</v>
      </c>
      <c r="G21" s="12">
        <v>21</v>
      </c>
      <c r="H21" s="12">
        <v>11</v>
      </c>
    </row>
    <row r="22" spans="1:22" x14ac:dyDescent="0.3">
      <c r="G22" s="14"/>
      <c r="H22" s="14"/>
      <c r="M22" s="3"/>
      <c r="N22" s="16">
        <v>0</v>
      </c>
      <c r="O22" s="16">
        <v>1</v>
      </c>
      <c r="P22" s="16">
        <v>2</v>
      </c>
      <c r="Q22" s="16">
        <v>3</v>
      </c>
      <c r="R22" s="16">
        <v>4</v>
      </c>
      <c r="S22" s="16">
        <v>5</v>
      </c>
      <c r="T22" s="16">
        <v>6</v>
      </c>
      <c r="U22" s="16">
        <v>7</v>
      </c>
      <c r="V22" s="16">
        <v>8</v>
      </c>
    </row>
    <row r="23" spans="1:22" x14ac:dyDescent="0.3">
      <c r="A23" s="17"/>
      <c r="B23" s="16">
        <v>0</v>
      </c>
      <c r="C23" s="16">
        <v>1</v>
      </c>
      <c r="D23" s="16">
        <v>2</v>
      </c>
      <c r="E23" s="16"/>
      <c r="F23" s="16"/>
      <c r="G23" s="16"/>
      <c r="H23" s="16"/>
      <c r="I23" s="16"/>
      <c r="J23" s="16"/>
      <c r="M23" s="15" t="s">
        <v>0</v>
      </c>
      <c r="N23" s="12">
        <v>0</v>
      </c>
      <c r="O23" s="12">
        <v>0</v>
      </c>
      <c r="P23" s="12">
        <v>111</v>
      </c>
      <c r="Q23" s="12">
        <v>335</v>
      </c>
      <c r="R23" s="12">
        <v>20</v>
      </c>
      <c r="S23" s="12">
        <v>7</v>
      </c>
      <c r="T23" s="12">
        <v>12</v>
      </c>
      <c r="U23" s="12">
        <v>7</v>
      </c>
      <c r="V23" s="12">
        <v>8</v>
      </c>
    </row>
    <row r="24" spans="1:22" x14ac:dyDescent="0.3">
      <c r="A24" s="8" t="s">
        <v>2</v>
      </c>
      <c r="B24" s="12">
        <v>164</v>
      </c>
      <c r="C24" s="12">
        <v>278</v>
      </c>
      <c r="D24" s="12">
        <v>24</v>
      </c>
      <c r="E24" s="12"/>
      <c r="F24" s="12"/>
      <c r="G24" s="12"/>
      <c r="H24" s="12"/>
      <c r="I24" s="12"/>
      <c r="J24" s="12"/>
      <c r="M24" s="3"/>
    </row>
    <row r="25" spans="1:22" x14ac:dyDescent="0.3">
      <c r="A25" s="8" t="s">
        <v>3</v>
      </c>
      <c r="B25" s="12">
        <v>143</v>
      </c>
      <c r="C25" s="12">
        <v>215</v>
      </c>
      <c r="D25" s="12">
        <v>108</v>
      </c>
      <c r="E25" s="12"/>
      <c r="F25" s="12"/>
      <c r="G25" s="12"/>
      <c r="H25" s="12"/>
      <c r="I25" s="12"/>
      <c r="J25" s="12"/>
      <c r="M25" s="15" t="s">
        <v>0</v>
      </c>
      <c r="N25" s="12">
        <v>0</v>
      </c>
      <c r="O25" s="12">
        <v>0</v>
      </c>
      <c r="P25" s="12">
        <v>111</v>
      </c>
      <c r="Q25" s="12">
        <v>335</v>
      </c>
      <c r="R25" s="12">
        <v>20</v>
      </c>
    </row>
    <row r="26" spans="1:22" x14ac:dyDescent="0.3">
      <c r="A26" s="8" t="s">
        <v>12</v>
      </c>
      <c r="B26" s="12">
        <v>442</v>
      </c>
      <c r="C26" s="12">
        <v>24</v>
      </c>
      <c r="D26" s="12"/>
      <c r="E26" s="12"/>
      <c r="F26" s="12"/>
      <c r="G26" s="12"/>
      <c r="H26" s="12"/>
      <c r="I26" s="12"/>
      <c r="J26" s="12"/>
    </row>
    <row r="27" spans="1:22" x14ac:dyDescent="0.3">
      <c r="A27" s="8" t="s">
        <v>14</v>
      </c>
      <c r="B27" s="12">
        <v>432</v>
      </c>
      <c r="C27" s="12">
        <v>34</v>
      </c>
      <c r="D27" s="12"/>
      <c r="E27" s="12"/>
      <c r="F27" s="12"/>
      <c r="G27" s="12"/>
      <c r="H27" s="12"/>
      <c r="I27" s="12"/>
      <c r="J27" s="12"/>
    </row>
    <row r="28" spans="1:22" x14ac:dyDescent="0.3">
      <c r="A28" s="8" t="s">
        <v>16</v>
      </c>
      <c r="B28" s="12">
        <v>394</v>
      </c>
      <c r="C28" s="12">
        <v>72</v>
      </c>
      <c r="D28" s="12"/>
      <c r="E28" s="12"/>
      <c r="F28" s="12"/>
      <c r="G28" s="12"/>
      <c r="H28" s="12"/>
      <c r="I28" s="12"/>
      <c r="J28" s="12"/>
    </row>
    <row r="29" spans="1:22" x14ac:dyDescent="0.3">
      <c r="A29" s="8" t="s">
        <v>17</v>
      </c>
      <c r="B29" s="12">
        <v>430</v>
      </c>
      <c r="C29" s="12">
        <v>36</v>
      </c>
      <c r="D29" s="12"/>
      <c r="E29" s="12"/>
      <c r="F29" s="12"/>
      <c r="G29" s="12"/>
      <c r="H29" s="12"/>
      <c r="I29" s="12"/>
      <c r="J29" s="12"/>
    </row>
    <row r="30" spans="1:22" x14ac:dyDescent="0.3">
      <c r="A30" s="8" t="s">
        <v>39</v>
      </c>
      <c r="B30" s="12">
        <v>439</v>
      </c>
      <c r="C30" s="12">
        <v>27</v>
      </c>
      <c r="D30" s="12"/>
      <c r="E30" s="12"/>
      <c r="F30" s="12"/>
      <c r="G30" s="12"/>
      <c r="H30" s="12"/>
      <c r="I30" s="12"/>
      <c r="J30" s="12"/>
    </row>
    <row r="31" spans="1:22" x14ac:dyDescent="0.3">
      <c r="A31" s="8" t="s">
        <v>19</v>
      </c>
      <c r="B31" s="12">
        <v>406</v>
      </c>
      <c r="C31" s="12">
        <v>60</v>
      </c>
      <c r="D31" s="12"/>
      <c r="E31" s="12"/>
      <c r="F31" s="12"/>
      <c r="G31" s="12"/>
      <c r="H31" s="12"/>
      <c r="I31" s="12"/>
      <c r="J31" s="12"/>
    </row>
    <row r="32" spans="1:22" x14ac:dyDescent="0.3">
      <c r="A32" s="8" t="s">
        <v>20</v>
      </c>
      <c r="B32" s="12">
        <v>385</v>
      </c>
      <c r="C32" s="12">
        <v>81</v>
      </c>
      <c r="D32" s="12"/>
      <c r="E32" s="12"/>
      <c r="F32" s="12"/>
      <c r="G32" s="12"/>
      <c r="H32" s="12"/>
      <c r="I32" s="12"/>
      <c r="J32" s="12"/>
    </row>
    <row r="33" spans="1:10" x14ac:dyDescent="0.3">
      <c r="A33" s="8" t="s">
        <v>21</v>
      </c>
      <c r="B33" s="12">
        <v>437</v>
      </c>
      <c r="C33" s="12">
        <v>29</v>
      </c>
      <c r="D33" s="12"/>
      <c r="E33" s="12"/>
      <c r="F33" s="12"/>
      <c r="G33" s="12"/>
      <c r="H33" s="12"/>
      <c r="I33" s="12"/>
      <c r="J33" s="12"/>
    </row>
    <row r="34" spans="1:10" x14ac:dyDescent="0.3">
      <c r="A34" s="8" t="s">
        <v>23</v>
      </c>
      <c r="B34" s="12">
        <v>166</v>
      </c>
      <c r="C34" s="12">
        <v>300</v>
      </c>
      <c r="D34" s="12"/>
      <c r="E34" s="12"/>
      <c r="F34" s="12"/>
      <c r="G34" s="12"/>
      <c r="H34" s="12"/>
      <c r="I34" s="12"/>
      <c r="J34" s="12"/>
    </row>
    <row r="35" spans="1:10" x14ac:dyDescent="0.3">
      <c r="A35" s="8" t="s">
        <v>24</v>
      </c>
      <c r="B35" s="12">
        <v>318</v>
      </c>
      <c r="C35" s="12">
        <v>148</v>
      </c>
      <c r="D35" s="12"/>
      <c r="E35" s="12"/>
      <c r="F35" s="12"/>
      <c r="G35" s="12"/>
      <c r="H35" s="12"/>
      <c r="I35" s="12"/>
      <c r="J35" s="12"/>
    </row>
    <row r="36" spans="1:10" x14ac:dyDescent="0.3">
      <c r="A36" s="8" t="s">
        <v>40</v>
      </c>
      <c r="B36" s="12">
        <v>423</v>
      </c>
      <c r="C36" s="12">
        <v>43</v>
      </c>
      <c r="D36" s="12"/>
      <c r="E36" s="12"/>
      <c r="F36" s="12"/>
      <c r="G36" s="12"/>
      <c r="H36" s="12"/>
      <c r="I36" s="12"/>
      <c r="J36" s="12"/>
    </row>
    <row r="37" spans="1:10" x14ac:dyDescent="0.3">
      <c r="A37" s="8" t="s">
        <v>27</v>
      </c>
      <c r="B37" s="12">
        <v>333</v>
      </c>
      <c r="C37" s="12">
        <v>133</v>
      </c>
      <c r="D37" s="12"/>
      <c r="E37" s="12"/>
      <c r="F37" s="12"/>
      <c r="G37" s="12"/>
      <c r="H37" s="12"/>
      <c r="I37" s="12"/>
      <c r="J37" s="12"/>
    </row>
    <row r="38" spans="1:10" x14ac:dyDescent="0.3">
      <c r="A38" s="8" t="s">
        <v>29</v>
      </c>
      <c r="B38" s="12">
        <v>268</v>
      </c>
      <c r="C38" s="12">
        <v>198</v>
      </c>
      <c r="D38" s="12"/>
      <c r="E38" s="12"/>
      <c r="F38" s="12"/>
      <c r="G38" s="12"/>
      <c r="H38" s="12"/>
      <c r="I38" s="12"/>
      <c r="J3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B9C65-BBE1-46E2-BA9D-3DCAFB0ABBC4}">
  <dimension ref="A1:O14"/>
  <sheetViews>
    <sheetView zoomScale="130" zoomScaleNormal="130" workbookViewId="0">
      <pane xSplit="1" topLeftCell="B1" activePane="topRight" state="frozen"/>
      <selection pane="topRight" activeCell="N9" sqref="N9"/>
    </sheetView>
  </sheetViews>
  <sheetFormatPr defaultRowHeight="14.4" x14ac:dyDescent="0.3"/>
  <cols>
    <col min="1" max="1" width="22.88671875" bestFit="1" customWidth="1"/>
    <col min="2" max="13" width="5.33203125" bestFit="1" customWidth="1"/>
    <col min="14" max="14" width="22.88671875" bestFit="1" customWidth="1"/>
    <col min="15" max="15" width="4.33203125" bestFit="1" customWidth="1"/>
  </cols>
  <sheetData>
    <row r="1" spans="1:15" ht="85.2" x14ac:dyDescent="0.3">
      <c r="A1" s="3"/>
      <c r="B1" s="4" t="s">
        <v>4</v>
      </c>
      <c r="C1" s="4" t="s">
        <v>6</v>
      </c>
      <c r="D1" s="4" t="s">
        <v>7</v>
      </c>
      <c r="E1" s="4" t="s">
        <v>8</v>
      </c>
      <c r="F1" s="4" t="s">
        <v>10</v>
      </c>
      <c r="G1" s="4" t="s">
        <v>11</v>
      </c>
      <c r="H1" s="4" t="s">
        <v>23</v>
      </c>
      <c r="I1" s="4" t="s">
        <v>24</v>
      </c>
      <c r="J1" s="4" t="s">
        <v>26</v>
      </c>
      <c r="K1" s="4" t="s">
        <v>27</v>
      </c>
      <c r="L1" s="4" t="s">
        <v>28</v>
      </c>
      <c r="M1" s="4" t="s">
        <v>29</v>
      </c>
      <c r="N1" t="s">
        <v>30</v>
      </c>
      <c r="O1" t="s">
        <v>31</v>
      </c>
    </row>
    <row r="2" spans="1:15" x14ac:dyDescent="0.3">
      <c r="A2" s="3" t="s">
        <v>4</v>
      </c>
      <c r="B2" s="5">
        <v>1</v>
      </c>
      <c r="C2" s="5">
        <v>0.40211358000000003</v>
      </c>
      <c r="D2" s="5">
        <v>-0.24268450999999999</v>
      </c>
      <c r="E2" s="5">
        <v>0.72243323999999998</v>
      </c>
      <c r="F2" s="5">
        <v>0.88625685399999998</v>
      </c>
      <c r="G2" s="5">
        <v>0.7965622</v>
      </c>
      <c r="H2" s="5">
        <v>0.43077278899999999</v>
      </c>
      <c r="I2" s="5">
        <v>-0.41817689000000002</v>
      </c>
      <c r="J2" s="5">
        <v>0.187859734</v>
      </c>
      <c r="K2" s="5">
        <v>0.23788889699999999</v>
      </c>
      <c r="L2" s="5">
        <v>0.161334007</v>
      </c>
      <c r="M2" s="5">
        <v>8.4730201000000005E-2</v>
      </c>
      <c r="N2">
        <v>0.79122782999999997</v>
      </c>
      <c r="O2">
        <v>1</v>
      </c>
    </row>
    <row r="3" spans="1:15" x14ac:dyDescent="0.3">
      <c r="A3" s="3" t="s">
        <v>6</v>
      </c>
      <c r="B3" s="5"/>
      <c r="C3" s="5">
        <v>1</v>
      </c>
      <c r="D3" s="5">
        <v>-0.34435427000000002</v>
      </c>
      <c r="E3" s="5">
        <v>0.47174062999999999</v>
      </c>
      <c r="F3" s="5">
        <v>0.26180647400000001</v>
      </c>
      <c r="G3" s="5">
        <v>0.81546335999999997</v>
      </c>
      <c r="H3" s="5">
        <v>0.25181702299999997</v>
      </c>
      <c r="I3" s="5">
        <v>-0.26571528999999999</v>
      </c>
      <c r="J3" s="5">
        <v>7.9807821000000001E-2</v>
      </c>
      <c r="K3" s="5">
        <v>5.7509896999999997E-2</v>
      </c>
      <c r="L3" s="5">
        <v>0.245220668</v>
      </c>
      <c r="M3" s="5">
        <v>0.20236963799999999</v>
      </c>
      <c r="N3">
        <v>0.40674032999999998</v>
      </c>
    </row>
    <row r="4" spans="1:15" x14ac:dyDescent="0.3">
      <c r="A4" s="3" t="s">
        <v>7</v>
      </c>
      <c r="B4" s="5"/>
      <c r="C4" s="5"/>
      <c r="D4" s="5">
        <v>1</v>
      </c>
      <c r="E4" s="5">
        <v>-0.82035776999999999</v>
      </c>
      <c r="F4" s="5">
        <v>-0.171854009</v>
      </c>
      <c r="G4" s="5">
        <v>-0.33025887999999998</v>
      </c>
      <c r="H4" s="5">
        <v>-0.30074731999999998</v>
      </c>
      <c r="I4" s="5">
        <v>0.29545911000000002</v>
      </c>
      <c r="J4" s="5">
        <v>2.5752549999999999E-2</v>
      </c>
      <c r="K4" s="5">
        <v>4.4310283999999998E-2</v>
      </c>
      <c r="L4" s="5">
        <v>-0.109956341</v>
      </c>
      <c r="M4" s="5">
        <v>-6.7259968000000003E-2</v>
      </c>
      <c r="N4">
        <v>-0.30405896999999998</v>
      </c>
    </row>
    <row r="5" spans="1:15" x14ac:dyDescent="0.3">
      <c r="A5" s="3" t="s">
        <v>8</v>
      </c>
      <c r="B5" s="5"/>
      <c r="C5" s="5"/>
      <c r="D5" s="5"/>
      <c r="E5" s="5">
        <v>1</v>
      </c>
      <c r="F5" s="5">
        <v>0.59891484699999997</v>
      </c>
      <c r="G5" s="5">
        <v>0.67027532999999995</v>
      </c>
      <c r="H5" s="5">
        <v>0.391117675</v>
      </c>
      <c r="I5" s="5">
        <v>-0.38185396999999999</v>
      </c>
      <c r="J5" s="5">
        <v>9.7554690999999999E-2</v>
      </c>
      <c r="K5" s="5">
        <v>0.112880592</v>
      </c>
      <c r="L5" s="5">
        <v>0.17191722100000001</v>
      </c>
      <c r="M5" s="5">
        <v>9.3471481999999995E-2</v>
      </c>
      <c r="N5">
        <v>0.62582342000000002</v>
      </c>
      <c r="O5">
        <v>1</v>
      </c>
    </row>
    <row r="6" spans="1:15" x14ac:dyDescent="0.3">
      <c r="A6" s="3" t="s">
        <v>10</v>
      </c>
      <c r="B6" s="5"/>
      <c r="C6" s="5"/>
      <c r="D6" s="5"/>
      <c r="E6" s="5"/>
      <c r="F6" s="5">
        <v>1</v>
      </c>
      <c r="G6" s="5">
        <v>0.77198630000000001</v>
      </c>
      <c r="H6" s="5">
        <v>0.347358691</v>
      </c>
      <c r="I6" s="5">
        <v>-0.33782498999999999</v>
      </c>
      <c r="J6" s="5">
        <v>0.246236649</v>
      </c>
      <c r="K6" s="5">
        <v>0.28198680999999998</v>
      </c>
      <c r="L6" s="5">
        <v>0.114724621</v>
      </c>
      <c r="M6" s="5">
        <v>5.9958513999999997E-2</v>
      </c>
      <c r="N6">
        <v>0.78461820000000004</v>
      </c>
      <c r="O6">
        <v>1</v>
      </c>
    </row>
    <row r="7" spans="1:15" x14ac:dyDescent="0.3">
      <c r="A7" s="3" t="s">
        <v>11</v>
      </c>
      <c r="B7" s="5"/>
      <c r="C7" s="5"/>
      <c r="D7" s="5"/>
      <c r="E7" s="5"/>
      <c r="F7" s="5"/>
      <c r="G7" s="5">
        <v>1</v>
      </c>
      <c r="H7" s="5">
        <v>0.37467430000000002</v>
      </c>
      <c r="I7" s="5">
        <v>-0.37782177</v>
      </c>
      <c r="J7" s="5">
        <v>0.199819211</v>
      </c>
      <c r="K7" s="5">
        <v>0.20686452</v>
      </c>
      <c r="L7" s="5">
        <v>0.230701499</v>
      </c>
      <c r="M7" s="5">
        <v>0.16967748699999999</v>
      </c>
      <c r="N7">
        <v>0.73848027999999999</v>
      </c>
    </row>
    <row r="8" spans="1:15" x14ac:dyDescent="0.3">
      <c r="A8" s="3" t="s">
        <v>23</v>
      </c>
      <c r="B8" s="5"/>
      <c r="C8" s="5"/>
      <c r="D8" s="5"/>
      <c r="E8" s="5"/>
      <c r="F8" s="5"/>
      <c r="G8" s="5"/>
      <c r="H8" s="5">
        <v>1</v>
      </c>
      <c r="I8" s="5">
        <v>-0.81123381999999999</v>
      </c>
      <c r="J8" s="5">
        <v>-1.1409258E-2</v>
      </c>
      <c r="K8" s="5">
        <v>-6.5710278999999996E-2</v>
      </c>
      <c r="L8" s="5">
        <v>0.15522391299999999</v>
      </c>
      <c r="M8" s="5">
        <v>0.13173533700000001</v>
      </c>
      <c r="N8">
        <v>0.56623650000000003</v>
      </c>
    </row>
    <row r="9" spans="1:15" x14ac:dyDescent="0.3">
      <c r="A9" s="3" t="s">
        <v>24</v>
      </c>
      <c r="B9" s="5"/>
      <c r="C9" s="5"/>
      <c r="D9" s="5"/>
      <c r="E9" s="5"/>
      <c r="F9" s="5"/>
      <c r="G9" s="5"/>
      <c r="H9" s="5"/>
      <c r="I9" s="5">
        <v>1</v>
      </c>
      <c r="J9" s="5">
        <v>4.2088264E-2</v>
      </c>
      <c r="K9" s="5">
        <v>9.9615771000000006E-2</v>
      </c>
      <c r="L9" s="5">
        <v>-0.189595704</v>
      </c>
      <c r="M9" s="5">
        <v>-0.14811691900000001</v>
      </c>
      <c r="N9">
        <v>-0.49855273</v>
      </c>
    </row>
    <row r="10" spans="1:15" x14ac:dyDescent="0.3">
      <c r="A10" s="3" t="s">
        <v>26</v>
      </c>
      <c r="B10" s="5"/>
      <c r="C10" s="5"/>
      <c r="D10" s="5"/>
      <c r="E10" s="5"/>
      <c r="F10" s="5"/>
      <c r="G10" s="5"/>
      <c r="H10" s="5"/>
      <c r="I10" s="5"/>
      <c r="J10" s="5">
        <v>1</v>
      </c>
      <c r="K10" s="5">
        <v>0.77027628400000003</v>
      </c>
      <c r="L10" s="5">
        <v>-0.256618756</v>
      </c>
      <c r="M10" s="5">
        <v>-0.260299489</v>
      </c>
      <c r="N10">
        <v>0.25023310999999998</v>
      </c>
    </row>
    <row r="11" spans="1:15" x14ac:dyDescent="0.3">
      <c r="A11" s="3" t="s">
        <v>27</v>
      </c>
      <c r="B11" s="5"/>
      <c r="C11" s="5"/>
      <c r="D11" s="5"/>
      <c r="E11" s="5"/>
      <c r="F11" s="5"/>
      <c r="G11" s="5"/>
      <c r="H11" s="5"/>
      <c r="I11" s="5"/>
      <c r="J11" s="5"/>
      <c r="K11" s="5">
        <v>1</v>
      </c>
      <c r="L11" s="5">
        <v>-0.36341744399999998</v>
      </c>
      <c r="M11" s="5">
        <v>-0.37979831800000002</v>
      </c>
      <c r="N11">
        <v>0.26788561999999999</v>
      </c>
      <c r="O11">
        <v>1</v>
      </c>
    </row>
    <row r="12" spans="1:15" x14ac:dyDescent="0.3">
      <c r="A12" s="3" t="s">
        <v>28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1</v>
      </c>
      <c r="M12" s="5">
        <v>0.89454637100000001</v>
      </c>
      <c r="N12">
        <v>0.18723614</v>
      </c>
    </row>
    <row r="13" spans="1:15" x14ac:dyDescent="0.3">
      <c r="A13" s="3" t="s">
        <v>29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1</v>
      </c>
      <c r="N13">
        <v>0.11825148000000001</v>
      </c>
      <c r="O13">
        <v>1</v>
      </c>
    </row>
    <row r="14" spans="1:15" x14ac:dyDescent="0.3">
      <c r="A14" s="3" t="s">
        <v>30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>
        <v>1</v>
      </c>
    </row>
  </sheetData>
  <conditionalFormatting sqref="B2:M14">
    <cfRule type="cellIs" dxfId="2" priority="1" operator="lessThan">
      <formula>-0.7</formula>
    </cfRule>
    <cfRule type="cellIs" dxfId="1" priority="2" operator="greaterThan">
      <formula>0.7</formula>
    </cfRule>
  </conditionalFormatting>
  <conditionalFormatting sqref="O2 N2:N14 O5:O6 O11 O13">
    <cfRule type="cellIs" dxfId="0" priority="3" operator="greaterThan">
      <formula>0.6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EFD1-9AF1-4952-8292-F3E560FE436C}">
  <dimension ref="A1:E9"/>
  <sheetViews>
    <sheetView workbookViewId="0">
      <selection activeCell="M18" sqref="M18"/>
    </sheetView>
  </sheetViews>
  <sheetFormatPr defaultRowHeight="14.4" x14ac:dyDescent="0.3"/>
  <sheetData>
    <row r="1" spans="1:5" x14ac:dyDescent="0.3">
      <c r="B1" t="s">
        <v>32</v>
      </c>
      <c r="C1" t="s">
        <v>33</v>
      </c>
      <c r="D1" t="s">
        <v>34</v>
      </c>
      <c r="E1" t="s">
        <v>35</v>
      </c>
    </row>
    <row r="2" spans="1:5" x14ac:dyDescent="0.3">
      <c r="A2">
        <v>1</v>
      </c>
      <c r="B2">
        <v>713</v>
      </c>
      <c r="C2">
        <v>92</v>
      </c>
      <c r="D2" s="1">
        <v>116922</v>
      </c>
      <c r="E2" s="1">
        <v>22463</v>
      </c>
    </row>
    <row r="3" spans="1:5" x14ac:dyDescent="0.3">
      <c r="A3">
        <v>2</v>
      </c>
      <c r="B3">
        <v>715</v>
      </c>
      <c r="C3">
        <v>59</v>
      </c>
      <c r="D3" s="1">
        <v>138503</v>
      </c>
      <c r="E3" s="1">
        <v>21689</v>
      </c>
    </row>
    <row r="4" spans="1:5" x14ac:dyDescent="0.3">
      <c r="A4">
        <v>3</v>
      </c>
      <c r="B4">
        <v>716</v>
      </c>
      <c r="C4">
        <v>156</v>
      </c>
      <c r="D4" s="1">
        <v>166593</v>
      </c>
      <c r="E4" s="1">
        <v>33322</v>
      </c>
    </row>
    <row r="5" spans="1:5" x14ac:dyDescent="0.3">
      <c r="A5">
        <v>4</v>
      </c>
      <c r="B5">
        <v>731</v>
      </c>
      <c r="C5">
        <v>29</v>
      </c>
      <c r="D5" s="1">
        <v>127906</v>
      </c>
      <c r="E5" s="1">
        <v>25484</v>
      </c>
    </row>
    <row r="6" spans="1:5" x14ac:dyDescent="0.3">
      <c r="A6">
        <v>5</v>
      </c>
      <c r="B6">
        <v>732</v>
      </c>
      <c r="C6">
        <v>8</v>
      </c>
      <c r="D6" s="1">
        <v>165148</v>
      </c>
      <c r="E6" s="1">
        <v>26799</v>
      </c>
    </row>
    <row r="7" spans="1:5" x14ac:dyDescent="0.3">
      <c r="A7">
        <v>6</v>
      </c>
      <c r="B7">
        <v>734</v>
      </c>
      <c r="C7">
        <v>12</v>
      </c>
      <c r="D7" s="1">
        <v>94305</v>
      </c>
      <c r="E7" s="1">
        <v>14702</v>
      </c>
    </row>
    <row r="8" spans="1:5" x14ac:dyDescent="0.3">
      <c r="A8">
        <v>7</v>
      </c>
      <c r="B8">
        <v>736</v>
      </c>
      <c r="C8">
        <v>27</v>
      </c>
      <c r="D8" s="1">
        <v>154254</v>
      </c>
      <c r="E8" s="1">
        <v>27767</v>
      </c>
    </row>
    <row r="9" spans="1:5" x14ac:dyDescent="0.3">
      <c r="A9">
        <v>8</v>
      </c>
      <c r="B9">
        <v>737</v>
      </c>
      <c r="C9">
        <v>83</v>
      </c>
      <c r="D9" s="1">
        <v>170659</v>
      </c>
      <c r="E9" s="1">
        <v>34372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CCC6-B10C-43F8-9CEF-16CD2918A597}">
  <dimension ref="A2:E19"/>
  <sheetViews>
    <sheetView workbookViewId="0">
      <selection activeCell="C10" sqref="C10"/>
    </sheetView>
  </sheetViews>
  <sheetFormatPr defaultRowHeight="14.4" x14ac:dyDescent="0.3"/>
  <cols>
    <col min="1" max="2" width="15.21875" bestFit="1" customWidth="1"/>
    <col min="3" max="3" width="14.88671875" bestFit="1" customWidth="1"/>
    <col min="4" max="4" width="15.77734375" bestFit="1" customWidth="1"/>
    <col min="5" max="5" width="14.88671875" bestFit="1" customWidth="1"/>
  </cols>
  <sheetData>
    <row r="2" spans="1:5" x14ac:dyDescent="0.3">
      <c r="A2" s="18" t="s">
        <v>42</v>
      </c>
      <c r="B2" s="18"/>
      <c r="C2" s="18"/>
      <c r="D2" s="16" t="s">
        <v>43</v>
      </c>
    </row>
    <row r="3" spans="1:5" x14ac:dyDescent="0.3">
      <c r="A3" s="3" t="s">
        <v>2</v>
      </c>
      <c r="B3" s="3" t="s">
        <v>5</v>
      </c>
      <c r="C3" s="3" t="s">
        <v>25</v>
      </c>
      <c r="D3" s="3" t="s">
        <v>9</v>
      </c>
    </row>
    <row r="4" spans="1:5" x14ac:dyDescent="0.3">
      <c r="A4" s="3" t="s">
        <v>3</v>
      </c>
      <c r="B4" s="3" t="s">
        <v>12</v>
      </c>
      <c r="C4" s="3" t="s">
        <v>46</v>
      </c>
      <c r="D4" s="3" t="s">
        <v>16</v>
      </c>
    </row>
    <row r="5" spans="1:5" x14ac:dyDescent="0.3">
      <c r="A5" s="3" t="s">
        <v>4</v>
      </c>
      <c r="B5" s="3" t="s">
        <v>13</v>
      </c>
      <c r="C5" s="3" t="s">
        <v>44</v>
      </c>
      <c r="D5" s="3" t="s">
        <v>17</v>
      </c>
    </row>
    <row r="6" spans="1:5" x14ac:dyDescent="0.3">
      <c r="A6" s="3" t="s">
        <v>6</v>
      </c>
      <c r="B6" s="3" t="s">
        <v>14</v>
      </c>
      <c r="C6" s="3" t="s">
        <v>11</v>
      </c>
      <c r="D6" s="3" t="s">
        <v>19</v>
      </c>
    </row>
    <row r="7" spans="1:5" x14ac:dyDescent="0.3">
      <c r="A7" s="3" t="s">
        <v>7</v>
      </c>
      <c r="B7" s="3" t="s">
        <v>15</v>
      </c>
      <c r="C7" s="3" t="s">
        <v>47</v>
      </c>
      <c r="D7" s="3" t="s">
        <v>20</v>
      </c>
    </row>
    <row r="8" spans="1:5" x14ac:dyDescent="0.3">
      <c r="A8" s="3" t="s">
        <v>10</v>
      </c>
      <c r="B8" s="3" t="s">
        <v>18</v>
      </c>
      <c r="C8" s="3"/>
      <c r="D8" s="3" t="s">
        <v>26</v>
      </c>
    </row>
    <row r="9" spans="1:5" x14ac:dyDescent="0.3">
      <c r="A9" s="3" t="s">
        <v>23</v>
      </c>
      <c r="B9" s="3" t="s">
        <v>21</v>
      </c>
      <c r="C9" s="3"/>
      <c r="D9" s="3" t="s">
        <v>28</v>
      </c>
    </row>
    <row r="10" spans="1:5" x14ac:dyDescent="0.3">
      <c r="A10" s="3" t="s">
        <v>27</v>
      </c>
      <c r="B10" s="3" t="s">
        <v>22</v>
      </c>
      <c r="C10" s="3"/>
      <c r="D10" s="3" t="s">
        <v>29</v>
      </c>
    </row>
    <row r="14" spans="1:5" x14ac:dyDescent="0.3">
      <c r="A14" s="19" t="s">
        <v>48</v>
      </c>
      <c r="B14" s="20"/>
      <c r="C14" s="20"/>
      <c r="D14" s="20"/>
      <c r="E14" s="21"/>
    </row>
    <row r="15" spans="1:5" x14ac:dyDescent="0.3">
      <c r="A15">
        <v>1</v>
      </c>
      <c r="B15" s="3" t="s">
        <v>4</v>
      </c>
      <c r="C15" s="3" t="s">
        <v>44</v>
      </c>
      <c r="D15" s="3" t="s">
        <v>45</v>
      </c>
      <c r="E15" s="3" t="s">
        <v>46</v>
      </c>
    </row>
    <row r="16" spans="1:5" x14ac:dyDescent="0.3">
      <c r="A16" s="3">
        <v>2</v>
      </c>
      <c r="B16" s="3" t="s">
        <v>6</v>
      </c>
      <c r="C16" s="3" t="s">
        <v>11</v>
      </c>
      <c r="D16" s="3"/>
      <c r="E16" s="3"/>
    </row>
    <row r="17" spans="1:5" x14ac:dyDescent="0.3">
      <c r="A17" s="3">
        <v>3</v>
      </c>
      <c r="B17" s="3" t="s">
        <v>7</v>
      </c>
      <c r="C17" s="3" t="s">
        <v>44</v>
      </c>
      <c r="D17" s="3"/>
      <c r="E17" s="3"/>
    </row>
    <row r="18" spans="1:5" x14ac:dyDescent="0.3">
      <c r="A18" s="3">
        <v>4</v>
      </c>
      <c r="B18" s="3" t="s">
        <v>10</v>
      </c>
      <c r="C18" s="3" t="s">
        <v>11</v>
      </c>
      <c r="D18" s="3"/>
      <c r="E18" s="3"/>
    </row>
    <row r="19" spans="1:5" x14ac:dyDescent="0.3">
      <c r="A19" s="3">
        <v>5</v>
      </c>
      <c r="B19" s="3" t="s">
        <v>23</v>
      </c>
      <c r="C19" s="3" t="s">
        <v>47</v>
      </c>
      <c r="D19" s="3"/>
      <c r="E19" s="3"/>
    </row>
  </sheetData>
  <mergeCells count="2">
    <mergeCell ref="A2:C2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F914-E1A8-4C1F-BEE4-5EE8DD4AD7AF}">
  <dimension ref="A1:G28"/>
  <sheetViews>
    <sheetView workbookViewId="0">
      <selection activeCell="K39" sqref="K39"/>
    </sheetView>
  </sheetViews>
  <sheetFormatPr defaultRowHeight="14.4" x14ac:dyDescent="0.3"/>
  <cols>
    <col min="1" max="1" width="15.21875" bestFit="1" customWidth="1"/>
    <col min="2" max="2" width="12.6640625" bestFit="1" customWidth="1"/>
    <col min="3" max="3" width="18.77734375" bestFit="1" customWidth="1"/>
    <col min="4" max="4" width="11" bestFit="1" customWidth="1"/>
    <col min="5" max="5" width="12" bestFit="1" customWidth="1"/>
    <col min="6" max="6" width="9" bestFit="1" customWidth="1"/>
  </cols>
  <sheetData>
    <row r="1" spans="1:7" x14ac:dyDescent="0.3">
      <c r="A1" t="s">
        <v>53</v>
      </c>
      <c r="B1" t="s">
        <v>49</v>
      </c>
      <c r="C1" t="s">
        <v>50</v>
      </c>
      <c r="D1" t="s">
        <v>51</v>
      </c>
      <c r="E1" t="s">
        <v>52</v>
      </c>
    </row>
    <row r="2" spans="1:7" x14ac:dyDescent="0.3">
      <c r="A2">
        <v>1</v>
      </c>
      <c r="B2" s="24">
        <v>0.78723050000000006</v>
      </c>
      <c r="C2" s="24">
        <v>287283850</v>
      </c>
      <c r="D2" s="24">
        <v>96.581320000000005</v>
      </c>
      <c r="E2" s="24">
        <v>2.6453899999999998E-141</v>
      </c>
    </row>
    <row r="3" spans="1:7" x14ac:dyDescent="0.3">
      <c r="A3">
        <v>2</v>
      </c>
      <c r="B3" s="24">
        <v>0.77474730000000003</v>
      </c>
      <c r="C3" s="24">
        <v>304138868</v>
      </c>
      <c r="D3" s="24">
        <v>95.07929</v>
      </c>
      <c r="E3" s="24">
        <v>1.326838E-136</v>
      </c>
    </row>
    <row r="4" spans="1:7" x14ac:dyDescent="0.3">
      <c r="A4">
        <v>3</v>
      </c>
      <c r="B4" s="24">
        <v>0.78062019999999999</v>
      </c>
      <c r="C4" s="24">
        <v>296209197</v>
      </c>
      <c r="D4" s="24">
        <v>98.330089999999998</v>
      </c>
      <c r="E4" s="24">
        <v>3.7678999999999999E-139</v>
      </c>
    </row>
    <row r="5" spans="1:7" x14ac:dyDescent="0.3">
      <c r="A5">
        <v>4</v>
      </c>
      <c r="B5" s="24">
        <v>0.79679259999999996</v>
      </c>
      <c r="C5" s="24">
        <v>274373044</v>
      </c>
      <c r="D5" s="24">
        <v>102.29456</v>
      </c>
      <c r="E5" s="24">
        <v>9.9756109999999996E-146</v>
      </c>
    </row>
    <row r="8" spans="1:7" x14ac:dyDescent="0.3">
      <c r="A8" s="6" t="s">
        <v>61</v>
      </c>
    </row>
    <row r="9" spans="1:7" x14ac:dyDescent="0.3">
      <c r="A9" s="16" t="s">
        <v>54</v>
      </c>
      <c r="B9" s="16" t="s">
        <v>55</v>
      </c>
      <c r="C9" s="16" t="s">
        <v>56</v>
      </c>
      <c r="D9" s="16" t="s">
        <v>57</v>
      </c>
      <c r="E9" s="16" t="s">
        <v>52</v>
      </c>
      <c r="F9" s="16" t="s">
        <v>58</v>
      </c>
    </row>
    <row r="10" spans="1:7" x14ac:dyDescent="0.3">
      <c r="A10" s="3" t="s">
        <v>59</v>
      </c>
      <c r="B10" s="10">
        <v>30589.435893000002</v>
      </c>
      <c r="C10" s="10">
        <v>0.83247373629999999</v>
      </c>
      <c r="D10" s="10">
        <v>2.6597374</v>
      </c>
      <c r="E10" s="10">
        <v>8.1011680000000006E-3</v>
      </c>
      <c r="F10" s="10"/>
      <c r="G10" s="33"/>
    </row>
    <row r="11" spans="1:7" x14ac:dyDescent="0.3">
      <c r="A11" s="3" t="s">
        <v>2</v>
      </c>
      <c r="B11" s="10">
        <v>-3713.2786070000002</v>
      </c>
      <c r="C11" s="10">
        <v>-0.1010547212</v>
      </c>
      <c r="D11" s="10">
        <v>-1.8771458999999999</v>
      </c>
      <c r="E11" s="10">
        <v>6.1149160000000001E-2</v>
      </c>
      <c r="F11" s="10">
        <v>2.0813809999999999</v>
      </c>
      <c r="G11" s="33"/>
    </row>
    <row r="12" spans="1:7" x14ac:dyDescent="0.3">
      <c r="A12" s="3" t="s">
        <v>5</v>
      </c>
      <c r="B12" s="10">
        <v>-9.035717</v>
      </c>
      <c r="C12" s="10">
        <v>-2.4590179999999998E-4</v>
      </c>
      <c r="D12" s="10">
        <v>-1.1319733999999999</v>
      </c>
      <c r="E12" s="10">
        <v>0.2582525</v>
      </c>
      <c r="F12" s="10">
        <v>2.0811259999999998</v>
      </c>
      <c r="G12" s="33"/>
    </row>
    <row r="13" spans="1:7" x14ac:dyDescent="0.3">
      <c r="A13" s="3" t="s">
        <v>15</v>
      </c>
      <c r="B13" s="10">
        <v>6.0095349999999996</v>
      </c>
      <c r="C13" s="10">
        <v>1.6354600000000001E-4</v>
      </c>
      <c r="D13" s="10">
        <v>3.9658454000000001</v>
      </c>
      <c r="E13" s="10">
        <v>8.5151729999999995E-5</v>
      </c>
      <c r="F13" s="10">
        <v>1.3307979999999999</v>
      </c>
      <c r="G13" s="33"/>
    </row>
    <row r="14" spans="1:7" x14ac:dyDescent="0.3">
      <c r="A14" s="3" t="s">
        <v>3</v>
      </c>
      <c r="B14" s="10">
        <v>3060.933681</v>
      </c>
      <c r="C14" s="10">
        <v>8.3301532799999994E-2</v>
      </c>
      <c r="D14" s="10">
        <v>2.3088063000000001</v>
      </c>
      <c r="E14" s="10">
        <v>2.1409649999999999E-2</v>
      </c>
      <c r="F14" s="10">
        <v>1.5910820000000001</v>
      </c>
      <c r="G14" s="33"/>
    </row>
    <row r="15" spans="1:7" x14ac:dyDescent="0.3">
      <c r="A15" s="3" t="s">
        <v>12</v>
      </c>
      <c r="B15" s="10">
        <v>-4483.9068020000004</v>
      </c>
      <c r="C15" s="10">
        <v>-0.12202692010000001</v>
      </c>
      <c r="D15" s="10">
        <v>-1.1378345000000001</v>
      </c>
      <c r="E15" s="10">
        <v>0.2557991</v>
      </c>
      <c r="F15" s="10">
        <v>1.2884310000000001</v>
      </c>
      <c r="G15" s="33"/>
    </row>
    <row r="16" spans="1:7" x14ac:dyDescent="0.3">
      <c r="A16" s="3" t="s">
        <v>18</v>
      </c>
      <c r="B16" s="10">
        <v>5873.2254149999999</v>
      </c>
      <c r="C16" s="10">
        <v>0.15983641940000001</v>
      </c>
      <c r="D16" s="10">
        <v>1.5332376999999999</v>
      </c>
      <c r="E16" s="10">
        <v>0.1259247</v>
      </c>
      <c r="F16" s="10">
        <v>1.3603019999999999</v>
      </c>
      <c r="G16" s="33"/>
    </row>
    <row r="17" spans="1:7" x14ac:dyDescent="0.3">
      <c r="A17" s="3" t="s">
        <v>13</v>
      </c>
      <c r="B17" s="10">
        <v>-75.963559000000004</v>
      </c>
      <c r="C17" s="10">
        <v>-2.0673041999999999E-3</v>
      </c>
      <c r="D17" s="10">
        <v>-0.1216776</v>
      </c>
      <c r="E17" s="10">
        <v>0.90320909999999999</v>
      </c>
      <c r="F17" s="10">
        <v>1.05931</v>
      </c>
      <c r="G17" s="33"/>
    </row>
    <row r="18" spans="1:7" x14ac:dyDescent="0.3">
      <c r="A18" s="3" t="s">
        <v>22</v>
      </c>
      <c r="B18" s="10">
        <v>-710.29428900000005</v>
      </c>
      <c r="C18" s="10">
        <v>-1.93302466E-2</v>
      </c>
      <c r="D18" s="10">
        <v>-5.6527817999999996</v>
      </c>
      <c r="E18" s="10">
        <v>2.8176790000000001E-8</v>
      </c>
      <c r="F18" s="10">
        <v>2.8752089999999999</v>
      </c>
      <c r="G18" s="33"/>
    </row>
    <row r="19" spans="1:7" x14ac:dyDescent="0.3">
      <c r="A19" s="3" t="s">
        <v>21</v>
      </c>
      <c r="B19" s="10">
        <v>4699.2667959999999</v>
      </c>
      <c r="C19" s="10">
        <v>0.12788781730000001</v>
      </c>
      <c r="D19" s="10">
        <v>1.2634221999999999</v>
      </c>
      <c r="E19" s="10">
        <v>0.207096</v>
      </c>
      <c r="F19" s="10">
        <v>1.371246</v>
      </c>
      <c r="G19" s="33"/>
    </row>
    <row r="20" spans="1:7" x14ac:dyDescent="0.3">
      <c r="A20" s="3" t="s">
        <v>14</v>
      </c>
      <c r="B20" s="10">
        <v>6209.2054500000004</v>
      </c>
      <c r="C20" s="10">
        <v>0.16897992100000001</v>
      </c>
      <c r="D20" s="10">
        <v>1.9669607</v>
      </c>
      <c r="E20" s="10">
        <v>4.9805839999999997E-2</v>
      </c>
      <c r="F20" s="10">
        <v>1.1447639999999999</v>
      </c>
      <c r="G20" s="33"/>
    </row>
    <row r="21" spans="1:7" x14ac:dyDescent="0.3">
      <c r="A21" s="3" t="s">
        <v>25</v>
      </c>
      <c r="B21" s="10">
        <v>3181.3429420000002</v>
      </c>
      <c r="C21" s="10">
        <v>8.6578400900000005E-2</v>
      </c>
      <c r="D21" s="10">
        <v>1.1282778</v>
      </c>
      <c r="E21" s="10">
        <v>0.25980779999999998</v>
      </c>
      <c r="F21" s="10">
        <v>1.1310199999999999</v>
      </c>
      <c r="G21" s="33"/>
    </row>
    <row r="22" spans="1:7" x14ac:dyDescent="0.3">
      <c r="A22" s="3" t="s">
        <v>27</v>
      </c>
      <c r="B22" s="10">
        <v>8855.0420470000008</v>
      </c>
      <c r="C22" s="10">
        <v>0.24098482769999999</v>
      </c>
      <c r="D22" s="10">
        <v>4.7160003000000001</v>
      </c>
      <c r="E22" s="10">
        <v>3.2198289999999998E-6</v>
      </c>
      <c r="F22" s="10">
        <v>1.2212430000000001</v>
      </c>
      <c r="G22" s="33"/>
    </row>
    <row r="23" spans="1:7" x14ac:dyDescent="0.3">
      <c r="A23" s="3" t="s">
        <v>10</v>
      </c>
      <c r="B23" s="10">
        <v>50.936048999999997</v>
      </c>
      <c r="C23" s="10">
        <v>1.386195E-3</v>
      </c>
      <c r="D23" s="10">
        <v>9.7442477000000007</v>
      </c>
      <c r="E23" s="10">
        <v>1.795208E-20</v>
      </c>
      <c r="F23" s="10">
        <v>4.1209410000000002</v>
      </c>
      <c r="G23" s="33"/>
    </row>
    <row r="24" spans="1:7" x14ac:dyDescent="0.3">
      <c r="A24" s="3" t="s">
        <v>6</v>
      </c>
      <c r="B24" s="10">
        <v>11.050511</v>
      </c>
      <c r="C24" s="10">
        <v>3.0073319999999998E-4</v>
      </c>
      <c r="D24" s="10">
        <v>2.9169743000000001</v>
      </c>
      <c r="E24" s="10">
        <v>3.7124620000000001E-3</v>
      </c>
      <c r="F24" s="10">
        <v>2.6441789999999998</v>
      </c>
      <c r="G24" s="33"/>
    </row>
    <row r="25" spans="1:7" x14ac:dyDescent="0.3">
      <c r="A25" s="3" t="s">
        <v>7</v>
      </c>
      <c r="B25" s="10">
        <v>-11.453785</v>
      </c>
      <c r="C25" s="10">
        <v>-3.1170809999999998E-4</v>
      </c>
      <c r="D25" s="10">
        <v>-3.0047467000000001</v>
      </c>
      <c r="E25" s="10">
        <v>2.8074599999999999E-3</v>
      </c>
      <c r="F25" s="10">
        <v>1.244599</v>
      </c>
      <c r="G25" s="33"/>
    </row>
    <row r="26" spans="1:7" x14ac:dyDescent="0.3">
      <c r="A26" s="3" t="s">
        <v>23</v>
      </c>
      <c r="B26" s="10">
        <v>11682.323249999999</v>
      </c>
      <c r="C26" s="10">
        <v>0.31792764400000001</v>
      </c>
      <c r="D26" s="10">
        <v>4.8040517999999999</v>
      </c>
      <c r="E26" s="10">
        <v>2.125844E-6</v>
      </c>
      <c r="F26" s="10">
        <v>2.3032710000000001</v>
      </c>
      <c r="G26" s="33"/>
    </row>
    <row r="27" spans="1:7" x14ac:dyDescent="0.3">
      <c r="A27" s="3" t="s">
        <v>0</v>
      </c>
      <c r="B27" s="10">
        <v>3527.746232</v>
      </c>
      <c r="C27" s="10">
        <v>9.6005565299999998E-2</v>
      </c>
      <c r="D27" s="10">
        <v>1.9045018</v>
      </c>
      <c r="E27" s="10">
        <v>5.7486519999999999E-2</v>
      </c>
      <c r="F27" s="10">
        <v>1.415958</v>
      </c>
      <c r="G27" s="33"/>
    </row>
    <row r="28" spans="1:7" x14ac:dyDescent="0.3">
      <c r="A28" s="3" t="s">
        <v>1</v>
      </c>
      <c r="B28" s="10">
        <v>10064.459148</v>
      </c>
      <c r="C28" s="10">
        <v>0.27389841190000003</v>
      </c>
      <c r="D28" s="10">
        <v>4.4153969999999996</v>
      </c>
      <c r="E28" s="10">
        <v>1.265863E-5</v>
      </c>
      <c r="F28" s="10">
        <v>2.1788470000000002</v>
      </c>
      <c r="G28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545D-974B-4A36-9C50-BB0FE77929E7}">
  <dimension ref="A1:T59"/>
  <sheetViews>
    <sheetView topLeftCell="L31" workbookViewId="0">
      <selection activeCell="L60" sqref="L60"/>
    </sheetView>
  </sheetViews>
  <sheetFormatPr defaultRowHeight="14.4" x14ac:dyDescent="0.3"/>
  <cols>
    <col min="1" max="1" width="7.21875" bestFit="1" customWidth="1"/>
    <col min="2" max="2" width="5.5546875" bestFit="1" customWidth="1"/>
    <col min="3" max="3" width="9.88671875" bestFit="1" customWidth="1"/>
    <col min="4" max="4" width="18.33203125" bestFit="1" customWidth="1"/>
    <col min="5" max="5" width="23.33203125" bestFit="1" customWidth="1"/>
    <col min="6" max="6" width="9.5546875" bestFit="1" customWidth="1"/>
    <col min="11" max="11" width="11.77734375" bestFit="1" customWidth="1"/>
    <col min="12" max="12" width="123.33203125" bestFit="1" customWidth="1"/>
    <col min="13" max="13" width="10" bestFit="1" customWidth="1"/>
    <col min="14" max="14" width="18.88671875" bestFit="1" customWidth="1"/>
    <col min="15" max="15" width="19.109375" bestFit="1" customWidth="1"/>
    <col min="16" max="16" width="12.77734375" bestFit="1" customWidth="1"/>
    <col min="17" max="18" width="9.5546875" bestFit="1" customWidth="1"/>
    <col min="19" max="19" width="12.88671875" bestFit="1" customWidth="1"/>
    <col min="20" max="20" width="6.5546875" bestFit="1" customWidth="1"/>
  </cols>
  <sheetData>
    <row r="1" spans="1:18" x14ac:dyDescent="0.3">
      <c r="A1" s="3" t="s">
        <v>62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</row>
    <row r="2" spans="1:18" x14ac:dyDescent="0.3">
      <c r="A2" s="3" t="s">
        <v>68</v>
      </c>
      <c r="B2" s="2">
        <v>0.89702769999999998</v>
      </c>
      <c r="C2" s="2">
        <v>0.80465869999999995</v>
      </c>
      <c r="D2" s="2">
        <v>0.79679259999999996</v>
      </c>
      <c r="E2" s="2">
        <v>16564.21</v>
      </c>
      <c r="F2" s="2">
        <v>102.2946</v>
      </c>
      <c r="K2" s="34" t="s">
        <v>62</v>
      </c>
      <c r="L2" s="34" t="s">
        <v>73</v>
      </c>
    </row>
    <row r="3" spans="1:18" ht="29.4" thickBot="1" x14ac:dyDescent="0.35">
      <c r="A3" s="3" t="s">
        <v>69</v>
      </c>
      <c r="B3" s="2">
        <v>0.89702409999999999</v>
      </c>
      <c r="C3" s="2">
        <v>0.80465220000000004</v>
      </c>
      <c r="D3" s="2">
        <v>0.79723940000000004</v>
      </c>
      <c r="E3" s="2">
        <v>16545.990000000002</v>
      </c>
      <c r="F3" s="2">
        <v>108.5497</v>
      </c>
      <c r="K3" s="34" t="s">
        <v>68</v>
      </c>
      <c r="L3" s="39" t="s">
        <v>82</v>
      </c>
    </row>
    <row r="4" spans="1:18" ht="29.4" thickBot="1" x14ac:dyDescent="0.35">
      <c r="A4" s="3" t="s">
        <v>70</v>
      </c>
      <c r="B4" s="2">
        <v>0.89671409999999996</v>
      </c>
      <c r="C4" s="2">
        <v>0.80409620000000004</v>
      </c>
      <c r="D4" s="2">
        <v>0.79711520000000002</v>
      </c>
      <c r="E4" s="2">
        <v>16551.060000000001</v>
      </c>
      <c r="F4" s="2">
        <v>115.18380000000001</v>
      </c>
      <c r="K4" s="34" t="s">
        <v>69</v>
      </c>
      <c r="L4" s="39" t="s">
        <v>83</v>
      </c>
    </row>
    <row r="5" spans="1:18" ht="29.4" thickBot="1" x14ac:dyDescent="0.35">
      <c r="A5" s="3" t="s">
        <v>71</v>
      </c>
      <c r="B5" s="2">
        <v>0.89639069999999998</v>
      </c>
      <c r="C5" s="2">
        <v>0.80351620000000001</v>
      </c>
      <c r="D5" s="2">
        <v>0.79696679999999998</v>
      </c>
      <c r="E5" s="2">
        <v>16557.11</v>
      </c>
      <c r="F5" s="2">
        <v>122.6844</v>
      </c>
      <c r="K5" s="34" t="s">
        <v>70</v>
      </c>
      <c r="L5" s="39" t="s">
        <v>84</v>
      </c>
    </row>
    <row r="6" spans="1:18" ht="29.4" thickBot="1" x14ac:dyDescent="0.35">
      <c r="A6" s="3" t="s">
        <v>72</v>
      </c>
      <c r="B6" s="2">
        <v>0.89555200000000001</v>
      </c>
      <c r="C6" s="2">
        <v>0.80201339999999999</v>
      </c>
      <c r="D6" s="2">
        <v>0.79586749999999995</v>
      </c>
      <c r="E6" s="2">
        <v>16601.87</v>
      </c>
      <c r="F6" s="2">
        <v>130.49510000000001</v>
      </c>
      <c r="K6" s="34" t="s">
        <v>71</v>
      </c>
      <c r="L6" s="39" t="s">
        <v>85</v>
      </c>
    </row>
    <row r="7" spans="1:18" ht="29.4" thickBot="1" x14ac:dyDescent="0.35">
      <c r="A7" s="3"/>
      <c r="B7" s="25"/>
      <c r="C7" s="25"/>
      <c r="D7" s="25"/>
      <c r="E7" s="25"/>
      <c r="F7" s="25"/>
      <c r="K7" s="34" t="s">
        <v>72</v>
      </c>
      <c r="L7" s="39" t="s">
        <v>86</v>
      </c>
    </row>
    <row r="8" spans="1:18" x14ac:dyDescent="0.3">
      <c r="A8" s="3"/>
      <c r="B8" s="25"/>
      <c r="C8" s="25"/>
      <c r="D8" s="25"/>
      <c r="E8" s="25"/>
      <c r="F8" s="25"/>
      <c r="K8" s="34"/>
      <c r="L8" s="35"/>
    </row>
    <row r="9" spans="1:18" x14ac:dyDescent="0.3">
      <c r="K9" s="34"/>
      <c r="L9" s="35"/>
    </row>
    <row r="14" spans="1:18" ht="15" thickBot="1" x14ac:dyDescent="0.35">
      <c r="K14" s="6" t="s">
        <v>74</v>
      </c>
    </row>
    <row r="15" spans="1:18" ht="15" thickBot="1" x14ac:dyDescent="0.35">
      <c r="B15" s="27"/>
      <c r="C15" s="28"/>
      <c r="D15" s="28"/>
      <c r="K15" s="36"/>
      <c r="L15" s="41" t="s">
        <v>50</v>
      </c>
      <c r="M15" s="41" t="s">
        <v>75</v>
      </c>
      <c r="N15" s="41" t="s">
        <v>76</v>
      </c>
      <c r="O15" s="37" t="s">
        <v>77</v>
      </c>
      <c r="P15" s="37" t="s">
        <v>78</v>
      </c>
    </row>
    <row r="16" spans="1:18" ht="29.4" customHeight="1" thickBot="1" x14ac:dyDescent="0.35">
      <c r="B16" s="29"/>
      <c r="C16" s="29"/>
      <c r="D16" s="29"/>
      <c r="K16" s="40" t="s">
        <v>79</v>
      </c>
      <c r="L16" s="42">
        <v>293659176529</v>
      </c>
      <c r="M16" s="42">
        <v>14</v>
      </c>
      <c r="N16">
        <f>L16/M16</f>
        <v>20975655466.357143</v>
      </c>
      <c r="O16" s="42">
        <v>74.049790000000002</v>
      </c>
      <c r="P16" s="38">
        <v>0</v>
      </c>
      <c r="R16" s="22"/>
    </row>
    <row r="17" spans="2:18" ht="29.4" customHeight="1" thickBot="1" x14ac:dyDescent="0.35">
      <c r="B17" s="30"/>
      <c r="C17" s="31"/>
      <c r="D17" s="31"/>
      <c r="K17" s="40" t="s">
        <v>80</v>
      </c>
      <c r="L17" s="42">
        <v>86395588388</v>
      </c>
      <c r="M17" s="42">
        <v>305</v>
      </c>
      <c r="N17">
        <f>L17/M17</f>
        <v>283264224.22295082</v>
      </c>
      <c r="O17" s="38"/>
      <c r="P17" s="38"/>
      <c r="R17" s="22"/>
    </row>
    <row r="18" spans="2:18" ht="15" thickBot="1" x14ac:dyDescent="0.35">
      <c r="B18" s="30"/>
      <c r="C18" s="31"/>
      <c r="D18" s="31"/>
      <c r="K18" s="40" t="s">
        <v>81</v>
      </c>
      <c r="L18" s="42">
        <v>380054764917</v>
      </c>
      <c r="M18" s="42">
        <v>319</v>
      </c>
      <c r="N18" s="42"/>
      <c r="O18" s="38"/>
      <c r="P18" s="38"/>
      <c r="R18" s="23"/>
    </row>
    <row r="19" spans="2:18" ht="15" thickBot="1" x14ac:dyDescent="0.35">
      <c r="B19" s="30"/>
      <c r="C19" s="31"/>
      <c r="D19" s="31"/>
    </row>
    <row r="20" spans="2:18" ht="15" thickBot="1" x14ac:dyDescent="0.35">
      <c r="B20" s="30"/>
      <c r="C20" s="31"/>
      <c r="D20" s="31"/>
    </row>
    <row r="21" spans="2:18" ht="15" thickBot="1" x14ac:dyDescent="0.35">
      <c r="B21" s="30"/>
      <c r="C21" s="31"/>
      <c r="D21" s="31"/>
    </row>
    <row r="22" spans="2:18" x14ac:dyDescent="0.3">
      <c r="B22" s="32"/>
    </row>
    <row r="23" spans="2:18" x14ac:dyDescent="0.3">
      <c r="L23" s="3" t="s">
        <v>54</v>
      </c>
      <c r="M23" s="3" t="s">
        <v>55</v>
      </c>
      <c r="N23" s="3" t="s">
        <v>56</v>
      </c>
      <c r="O23" s="3" t="s">
        <v>57</v>
      </c>
      <c r="P23" s="3" t="s">
        <v>52</v>
      </c>
      <c r="Q23" s="3" t="s">
        <v>58</v>
      </c>
    </row>
    <row r="24" spans="2:18" x14ac:dyDescent="0.3">
      <c r="K24">
        <v>1</v>
      </c>
      <c r="L24" t="s">
        <v>59</v>
      </c>
      <c r="M24" s="2">
        <v>35582.070156000002</v>
      </c>
      <c r="N24" s="2">
        <v>1.0308689581999999</v>
      </c>
      <c r="O24" s="2">
        <v>2.6050249999999999</v>
      </c>
      <c r="P24" s="2">
        <v>9.6370290000000001E-3</v>
      </c>
      <c r="Q24" s="2" t="s">
        <v>60</v>
      </c>
    </row>
    <row r="25" spans="2:18" x14ac:dyDescent="0.3">
      <c r="K25">
        <v>2</v>
      </c>
      <c r="L25" t="s">
        <v>2</v>
      </c>
      <c r="M25" s="2">
        <v>-4334.8549130000001</v>
      </c>
      <c r="N25" s="2">
        <v>-0.12558761609999999</v>
      </c>
      <c r="O25" s="2">
        <v>-1.750732</v>
      </c>
      <c r="P25" s="2">
        <v>8.0997399999999997E-2</v>
      </c>
      <c r="Q25" s="2">
        <v>2.1805340000000002</v>
      </c>
    </row>
    <row r="26" spans="2:18" x14ac:dyDescent="0.3">
      <c r="K26">
        <v>3</v>
      </c>
      <c r="L26" t="s">
        <v>15</v>
      </c>
      <c r="M26" s="2">
        <v>5.0317090000000002</v>
      </c>
      <c r="N26" s="2">
        <v>1.4577660000000001E-4</v>
      </c>
      <c r="O26" s="2">
        <v>2.6419510000000002</v>
      </c>
      <c r="P26" s="2">
        <v>8.6681599999999994E-3</v>
      </c>
      <c r="Q26" s="2">
        <v>1.313571</v>
      </c>
    </row>
    <row r="27" spans="2:18" x14ac:dyDescent="0.3">
      <c r="K27">
        <v>4</v>
      </c>
      <c r="L27" t="s">
        <v>3</v>
      </c>
      <c r="M27" s="2">
        <v>3378.705168</v>
      </c>
      <c r="N27" s="2">
        <v>9.7886442899999995E-2</v>
      </c>
      <c r="O27" s="2">
        <v>2.1346829999999999</v>
      </c>
      <c r="P27" s="2">
        <v>3.358386E-2</v>
      </c>
      <c r="Q27" s="2">
        <v>1.4773400000000001</v>
      </c>
    </row>
    <row r="28" spans="2:18" x14ac:dyDescent="0.3">
      <c r="K28">
        <v>5</v>
      </c>
      <c r="L28" t="s">
        <v>12</v>
      </c>
      <c r="M28" s="2">
        <v>-8409.8328870000005</v>
      </c>
      <c r="N28" s="2">
        <v>-0.2436461855</v>
      </c>
      <c r="O28" s="2">
        <v>-1.620015</v>
      </c>
      <c r="P28" s="2">
        <v>0.1062626</v>
      </c>
      <c r="Q28" s="2">
        <v>1.2736339999999999</v>
      </c>
    </row>
    <row r="29" spans="2:18" x14ac:dyDescent="0.3">
      <c r="K29">
        <v>6</v>
      </c>
      <c r="L29" t="s">
        <v>18</v>
      </c>
      <c r="M29" s="2">
        <v>10423.479225999999</v>
      </c>
      <c r="N29" s="2">
        <v>0.30198471090000001</v>
      </c>
      <c r="O29" s="2">
        <v>2.2650359999999998</v>
      </c>
      <c r="P29" s="2">
        <v>2.4211799999999999E-2</v>
      </c>
      <c r="Q29" s="2">
        <v>1.203441</v>
      </c>
    </row>
    <row r="30" spans="2:18" x14ac:dyDescent="0.3">
      <c r="K30">
        <v>7</v>
      </c>
      <c r="L30" t="s">
        <v>22</v>
      </c>
      <c r="M30" s="2">
        <v>-536.20725400000003</v>
      </c>
      <c r="N30" s="2">
        <v>-1.55347739E-2</v>
      </c>
      <c r="O30" s="2">
        <v>-3.4853770000000002</v>
      </c>
      <c r="P30" s="2">
        <v>5.6353619999999997E-4</v>
      </c>
      <c r="Q30" s="2">
        <v>2.4512559999999999</v>
      </c>
    </row>
    <row r="31" spans="2:18" x14ac:dyDescent="0.3">
      <c r="K31">
        <v>8</v>
      </c>
      <c r="L31" t="s">
        <v>14</v>
      </c>
      <c r="M31" s="2">
        <v>6654.1068789999999</v>
      </c>
      <c r="N31" s="2">
        <v>0.19278002080000001</v>
      </c>
      <c r="O31" s="2">
        <v>1.6274599999999999</v>
      </c>
      <c r="P31" s="2">
        <v>0.1046719</v>
      </c>
      <c r="Q31" s="2">
        <v>1.1579969999999999</v>
      </c>
    </row>
    <row r="32" spans="2:18" x14ac:dyDescent="0.3">
      <c r="K32">
        <v>9</v>
      </c>
      <c r="L32" t="s">
        <v>25</v>
      </c>
      <c r="M32" s="2">
        <v>6965.0445689999997</v>
      </c>
      <c r="N32" s="2">
        <v>0.2017883784</v>
      </c>
      <c r="O32" s="2">
        <v>1.864987</v>
      </c>
      <c r="P32" s="2">
        <v>6.3143409999999997E-2</v>
      </c>
      <c r="Q32" s="2">
        <v>1.093094</v>
      </c>
    </row>
    <row r="33" spans="11:20" x14ac:dyDescent="0.3">
      <c r="K33">
        <v>10</v>
      </c>
      <c r="L33" t="s">
        <v>27</v>
      </c>
      <c r="M33" s="2">
        <v>6417.6469239999997</v>
      </c>
      <c r="N33" s="2">
        <v>0.18592940120000001</v>
      </c>
      <c r="O33" s="2">
        <v>2.7645780000000002</v>
      </c>
      <c r="P33" s="2">
        <v>6.0465909999999996E-3</v>
      </c>
      <c r="Q33" s="2">
        <v>1.187514</v>
      </c>
    </row>
    <row r="34" spans="11:20" x14ac:dyDescent="0.3">
      <c r="K34">
        <v>11</v>
      </c>
      <c r="L34" t="s">
        <v>10</v>
      </c>
      <c r="M34" s="2">
        <v>56.863104</v>
      </c>
      <c r="N34" s="2">
        <v>1.6474142000000001E-3</v>
      </c>
      <c r="O34" s="2">
        <v>11.161592000000001</v>
      </c>
      <c r="P34" s="2">
        <v>1.7424649999999999E-24</v>
      </c>
      <c r="Q34" s="2">
        <v>2.1501169999999998</v>
      </c>
    </row>
    <row r="35" spans="11:20" x14ac:dyDescent="0.3">
      <c r="K35">
        <v>12</v>
      </c>
      <c r="L35" t="s">
        <v>6</v>
      </c>
      <c r="M35" s="2">
        <v>15.49663</v>
      </c>
      <c r="N35" s="2">
        <v>4.4896189999999998E-4</v>
      </c>
      <c r="O35" s="2">
        <v>3.3291849999999998</v>
      </c>
      <c r="P35" s="2">
        <v>9.7784140000000005E-4</v>
      </c>
      <c r="Q35" s="2">
        <v>2.4882529999999998</v>
      </c>
    </row>
    <row r="36" spans="11:20" x14ac:dyDescent="0.3">
      <c r="K36">
        <v>13</v>
      </c>
      <c r="L36" t="s">
        <v>7</v>
      </c>
      <c r="M36" s="2">
        <v>-12.359201000000001</v>
      </c>
      <c r="N36" s="2">
        <v>-3.5806560000000001E-4</v>
      </c>
      <c r="O36" s="2">
        <v>-2.5360130000000001</v>
      </c>
      <c r="P36" s="2">
        <v>1.171113E-2</v>
      </c>
      <c r="Q36" s="2">
        <v>1.2529889999999999</v>
      </c>
    </row>
    <row r="37" spans="11:20" x14ac:dyDescent="0.3">
      <c r="K37">
        <v>14</v>
      </c>
      <c r="L37" t="s">
        <v>23</v>
      </c>
      <c r="M37" s="2">
        <v>13379.661641000001</v>
      </c>
      <c r="N37" s="2">
        <v>0.38763000009999998</v>
      </c>
      <c r="O37" s="2">
        <v>4.7422469999999999</v>
      </c>
      <c r="P37" s="2">
        <v>3.2498230000000002E-6</v>
      </c>
      <c r="Q37" s="2">
        <v>2.054135</v>
      </c>
    </row>
    <row r="38" spans="11:20" x14ac:dyDescent="0.3">
      <c r="K38">
        <v>15</v>
      </c>
      <c r="L38" t="s">
        <v>1</v>
      </c>
      <c r="M38" s="2">
        <v>8769.2371349999994</v>
      </c>
      <c r="N38" s="2">
        <v>0.25405869609999998</v>
      </c>
      <c r="O38" s="2">
        <v>3.120476</v>
      </c>
      <c r="P38" s="2">
        <v>1.9783610000000001E-3</v>
      </c>
      <c r="Q38" s="2">
        <v>2.0170140000000001</v>
      </c>
    </row>
    <row r="39" spans="11:20" x14ac:dyDescent="0.3">
      <c r="L39" s="3"/>
      <c r="M39" s="25"/>
      <c r="N39" s="25"/>
      <c r="O39" s="25"/>
      <c r="P39" s="25"/>
    </row>
    <row r="40" spans="11:20" x14ac:dyDescent="0.3">
      <c r="L40" s="3"/>
      <c r="M40" s="25"/>
      <c r="N40" s="25"/>
      <c r="O40" s="25"/>
      <c r="P40" s="25"/>
    </row>
    <row r="41" spans="11:20" x14ac:dyDescent="0.3">
      <c r="L41" s="3"/>
      <c r="M41" s="25"/>
      <c r="N41" s="25"/>
      <c r="O41" s="25"/>
      <c r="P41" s="25"/>
    </row>
    <row r="42" spans="11:20" x14ac:dyDescent="0.3">
      <c r="L42" s="3"/>
      <c r="M42" s="25"/>
      <c r="N42" s="25"/>
      <c r="O42" s="25"/>
      <c r="P42" s="25"/>
    </row>
    <row r="43" spans="11:20" ht="15" thickBot="1" x14ac:dyDescent="0.35">
      <c r="L43" s="3"/>
      <c r="M43" s="25"/>
      <c r="N43" s="25"/>
      <c r="O43" s="25"/>
      <c r="P43" s="25"/>
    </row>
    <row r="44" spans="11:20" x14ac:dyDescent="0.3">
      <c r="K44" s="32"/>
    </row>
    <row r="47" spans="11:20" x14ac:dyDescent="0.3">
      <c r="K47" s="6"/>
      <c r="M47" s="22"/>
      <c r="O47" s="3" t="s">
        <v>87</v>
      </c>
      <c r="P47" s="3" t="s">
        <v>36</v>
      </c>
      <c r="Q47" s="3" t="s">
        <v>37</v>
      </c>
      <c r="R47" s="3" t="s">
        <v>34</v>
      </c>
      <c r="S47" s="3" t="s">
        <v>88</v>
      </c>
      <c r="T47" s="3" t="s">
        <v>89</v>
      </c>
    </row>
    <row r="48" spans="11:20" x14ac:dyDescent="0.3">
      <c r="K48" s="22"/>
      <c r="M48" s="22">
        <v>1</v>
      </c>
      <c r="O48" s="43" t="s">
        <v>90</v>
      </c>
      <c r="P48" s="26">
        <v>65924.121927999993</v>
      </c>
      <c r="Q48" s="26">
        <v>272930.59999999998</v>
      </c>
      <c r="R48" s="26">
        <v>147799.4</v>
      </c>
      <c r="S48" s="26">
        <v>30340.759416000001</v>
      </c>
      <c r="T48" s="26">
        <v>320</v>
      </c>
    </row>
    <row r="49" spans="11:20" x14ac:dyDescent="0.3">
      <c r="K49" s="22"/>
      <c r="M49" s="22">
        <v>2</v>
      </c>
      <c r="O49" s="43" t="s">
        <v>80</v>
      </c>
      <c r="P49" s="26">
        <v>-42981.939721000002</v>
      </c>
      <c r="Q49" s="26">
        <v>49403.95</v>
      </c>
      <c r="R49" s="26">
        <v>-1.8814639999999998E-12</v>
      </c>
      <c r="S49" s="26">
        <v>16456.991386000002</v>
      </c>
      <c r="T49" s="26">
        <v>320</v>
      </c>
    </row>
    <row r="50" spans="11:20" x14ac:dyDescent="0.3">
      <c r="K50" s="23"/>
      <c r="M50" s="22">
        <v>3</v>
      </c>
      <c r="O50" s="43" t="s">
        <v>92</v>
      </c>
      <c r="P50" s="26">
        <v>-2.6985260000000002</v>
      </c>
      <c r="Q50" s="26">
        <v>4.124193</v>
      </c>
      <c r="R50" s="26">
        <v>-1.962929E-16</v>
      </c>
      <c r="S50" s="26">
        <v>1</v>
      </c>
      <c r="T50" s="26">
        <v>320</v>
      </c>
    </row>
    <row r="51" spans="11:20" x14ac:dyDescent="0.3">
      <c r="M51" s="23">
        <v>4</v>
      </c>
      <c r="O51" s="43" t="s">
        <v>91</v>
      </c>
      <c r="P51" s="26">
        <v>-2.6387860000000001</v>
      </c>
      <c r="Q51" s="26">
        <v>2.9893679999999998</v>
      </c>
      <c r="R51" s="26">
        <v>-1.063155E-5</v>
      </c>
      <c r="S51" s="26">
        <v>1.0036769999999999</v>
      </c>
      <c r="T51" s="26">
        <v>320</v>
      </c>
    </row>
    <row r="58" spans="11:20" x14ac:dyDescent="0.3">
      <c r="O58" s="22" t="s">
        <v>87</v>
      </c>
      <c r="P58" s="3" t="s">
        <v>63</v>
      </c>
      <c r="Q58" s="3" t="s">
        <v>94</v>
      </c>
      <c r="R58" s="3" t="s">
        <v>95</v>
      </c>
      <c r="S58" s="3" t="s">
        <v>96</v>
      </c>
    </row>
    <row r="59" spans="11:20" x14ac:dyDescent="0.3">
      <c r="O59" s="23" t="s">
        <v>93</v>
      </c>
      <c r="P59" s="25">
        <v>0.87901989999999997</v>
      </c>
      <c r="Q59" s="25">
        <v>0.77267589999999997</v>
      </c>
      <c r="R59" s="25">
        <v>0.76224139999999996</v>
      </c>
      <c r="S59" s="25">
        <v>16830.46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103E-4271-448A-A157-B9EFABB539C4}">
  <dimension ref="B2:N59"/>
  <sheetViews>
    <sheetView topLeftCell="L33" workbookViewId="0">
      <selection activeCell="C48" sqref="C48:I59"/>
    </sheetView>
  </sheetViews>
  <sheetFormatPr defaultRowHeight="14.4" x14ac:dyDescent="0.3"/>
  <cols>
    <col min="2" max="2" width="50.44140625" bestFit="1" customWidth="1"/>
    <col min="3" max="3" width="6.109375" bestFit="1" customWidth="1"/>
    <col min="4" max="4" width="7.33203125" bestFit="1" customWidth="1"/>
    <col min="5" max="5" width="10.44140625" bestFit="1" customWidth="1"/>
    <col min="6" max="6" width="9" bestFit="1" customWidth="1"/>
    <col min="7" max="7" width="15" bestFit="1" customWidth="1"/>
    <col min="8" max="11" width="5" bestFit="1" customWidth="1"/>
    <col min="12" max="12" width="8.5546875" bestFit="1" customWidth="1"/>
    <col min="13" max="13" width="9" bestFit="1" customWidth="1"/>
    <col min="14" max="14" width="15" bestFit="1" customWidth="1"/>
  </cols>
  <sheetData>
    <row r="2" spans="2:10" x14ac:dyDescent="0.3">
      <c r="B2" s="6" t="s">
        <v>97</v>
      </c>
    </row>
    <row r="3" spans="2:10" x14ac:dyDescent="0.3">
      <c r="C3" s="16" t="s">
        <v>98</v>
      </c>
      <c r="D3" s="16" t="s">
        <v>33</v>
      </c>
      <c r="E3" s="16" t="s">
        <v>99</v>
      </c>
    </row>
    <row r="4" spans="2:10" x14ac:dyDescent="0.3">
      <c r="C4" s="12">
        <v>713</v>
      </c>
      <c r="D4" s="12">
        <v>55</v>
      </c>
      <c r="E4" s="12">
        <v>155</v>
      </c>
    </row>
    <row r="5" spans="2:10" x14ac:dyDescent="0.3">
      <c r="C5" s="12">
        <v>715</v>
      </c>
      <c r="D5" s="12">
        <v>45</v>
      </c>
      <c r="E5" s="12">
        <v>226</v>
      </c>
    </row>
    <row r="6" spans="2:10" x14ac:dyDescent="0.3">
      <c r="C6" s="12">
        <v>716</v>
      </c>
      <c r="D6" s="12">
        <v>111</v>
      </c>
      <c r="E6" s="12">
        <v>151</v>
      </c>
    </row>
    <row r="7" spans="2:10" x14ac:dyDescent="0.3">
      <c r="C7" s="12">
        <v>731</v>
      </c>
      <c r="D7" s="12">
        <v>20</v>
      </c>
      <c r="E7" s="12">
        <v>34.200000000000003</v>
      </c>
    </row>
    <row r="8" spans="2:10" x14ac:dyDescent="0.3">
      <c r="C8" s="12">
        <v>732</v>
      </c>
      <c r="D8" s="12">
        <v>5</v>
      </c>
      <c r="E8" s="12">
        <v>139</v>
      </c>
    </row>
    <row r="9" spans="2:10" x14ac:dyDescent="0.3">
      <c r="C9" s="12">
        <v>734</v>
      </c>
      <c r="D9" s="12">
        <v>10</v>
      </c>
      <c r="E9" s="12">
        <v>307</v>
      </c>
    </row>
    <row r="10" spans="2:10" x14ac:dyDescent="0.3">
      <c r="C10" s="12">
        <v>736</v>
      </c>
      <c r="D10" s="12">
        <v>18</v>
      </c>
      <c r="E10" s="12">
        <v>206</v>
      </c>
    </row>
    <row r="11" spans="2:10" x14ac:dyDescent="0.3">
      <c r="C11" s="12">
        <v>737</v>
      </c>
      <c r="D11" s="12">
        <v>56</v>
      </c>
      <c r="E11" s="12">
        <v>139</v>
      </c>
    </row>
    <row r="16" spans="2:10" x14ac:dyDescent="0.3">
      <c r="B16" s="6" t="s">
        <v>107</v>
      </c>
      <c r="C16" t="s">
        <v>32</v>
      </c>
      <c r="D16" t="s">
        <v>38</v>
      </c>
      <c r="E16" t="s">
        <v>104</v>
      </c>
      <c r="F16" t="s">
        <v>105</v>
      </c>
      <c r="G16" t="s">
        <v>106</v>
      </c>
      <c r="H16" t="s">
        <v>36</v>
      </c>
      <c r="I16" t="s">
        <v>37</v>
      </c>
      <c r="J16" t="s">
        <v>102</v>
      </c>
    </row>
    <row r="17" spans="2:10" x14ac:dyDescent="0.3">
      <c r="C17">
        <v>713</v>
      </c>
      <c r="D17">
        <v>0.99</v>
      </c>
      <c r="E17">
        <v>0.96</v>
      </c>
      <c r="F17">
        <v>1.03</v>
      </c>
      <c r="G17">
        <v>95.6</v>
      </c>
      <c r="H17">
        <v>0.78</v>
      </c>
      <c r="I17">
        <v>1.32</v>
      </c>
      <c r="J17">
        <v>8.56</v>
      </c>
    </row>
    <row r="18" spans="2:10" x14ac:dyDescent="0.3">
      <c r="C18">
        <v>715</v>
      </c>
      <c r="D18">
        <v>1.08</v>
      </c>
      <c r="E18">
        <v>1.05</v>
      </c>
      <c r="F18">
        <v>1.1299999999999999</v>
      </c>
      <c r="G18">
        <v>94.6</v>
      </c>
      <c r="H18">
        <v>0.86</v>
      </c>
      <c r="I18">
        <v>1.38</v>
      </c>
      <c r="J18">
        <v>7.45</v>
      </c>
    </row>
    <row r="19" spans="2:10" x14ac:dyDescent="0.3">
      <c r="C19">
        <v>716</v>
      </c>
      <c r="D19">
        <v>1</v>
      </c>
      <c r="E19">
        <v>0.99</v>
      </c>
      <c r="F19">
        <v>1.02</v>
      </c>
      <c r="G19">
        <v>95.3</v>
      </c>
      <c r="H19">
        <v>0.82</v>
      </c>
      <c r="I19">
        <v>1.22</v>
      </c>
      <c r="J19">
        <v>5.95</v>
      </c>
    </row>
    <row r="20" spans="2:10" x14ac:dyDescent="0.3">
      <c r="C20">
        <v>731</v>
      </c>
      <c r="D20">
        <v>0.83</v>
      </c>
      <c r="E20">
        <v>0.78</v>
      </c>
      <c r="F20">
        <v>0.87</v>
      </c>
      <c r="G20">
        <v>92.2</v>
      </c>
      <c r="H20">
        <v>0.75</v>
      </c>
      <c r="I20">
        <v>0.98</v>
      </c>
      <c r="J20">
        <v>7.59</v>
      </c>
    </row>
    <row r="21" spans="2:10" x14ac:dyDescent="0.3">
      <c r="C21">
        <v>734</v>
      </c>
      <c r="D21">
        <v>1.31</v>
      </c>
      <c r="E21">
        <v>1.2</v>
      </c>
      <c r="F21">
        <v>1.35</v>
      </c>
      <c r="G21">
        <v>93.5</v>
      </c>
      <c r="H21">
        <v>1.1100000000000001</v>
      </c>
      <c r="I21">
        <v>1.52</v>
      </c>
      <c r="J21">
        <v>7.16</v>
      </c>
    </row>
    <row r="22" spans="2:10" x14ac:dyDescent="0.3">
      <c r="C22">
        <v>736</v>
      </c>
      <c r="D22">
        <v>1.0900000000000001</v>
      </c>
      <c r="E22">
        <v>0.97</v>
      </c>
      <c r="F22">
        <v>1.1000000000000001</v>
      </c>
      <c r="G22">
        <v>93.6</v>
      </c>
      <c r="H22">
        <v>0.89</v>
      </c>
      <c r="I22">
        <v>1.24</v>
      </c>
      <c r="J22">
        <v>6.65</v>
      </c>
    </row>
    <row r="23" spans="2:10" x14ac:dyDescent="0.3">
      <c r="C23">
        <v>737</v>
      </c>
      <c r="D23">
        <v>0.99</v>
      </c>
      <c r="E23">
        <v>0.96</v>
      </c>
      <c r="F23">
        <v>1.01</v>
      </c>
      <c r="G23">
        <v>93.7</v>
      </c>
      <c r="H23">
        <v>0.76</v>
      </c>
      <c r="I23">
        <v>1.22</v>
      </c>
      <c r="J23">
        <v>7.94</v>
      </c>
    </row>
    <row r="26" spans="2:10" x14ac:dyDescent="0.3">
      <c r="B26" s="6" t="s">
        <v>108</v>
      </c>
      <c r="C26" s="3" t="s">
        <v>32</v>
      </c>
      <c r="D26" s="3" t="s">
        <v>38</v>
      </c>
      <c r="E26" s="3" t="s">
        <v>104</v>
      </c>
      <c r="F26" s="3" t="s">
        <v>105</v>
      </c>
      <c r="G26" s="3" t="s">
        <v>106</v>
      </c>
      <c r="H26" s="3" t="s">
        <v>36</v>
      </c>
      <c r="I26" s="3" t="s">
        <v>37</v>
      </c>
      <c r="J26" s="3" t="s">
        <v>102</v>
      </c>
    </row>
    <row r="27" spans="2:10" x14ac:dyDescent="0.3">
      <c r="C27" s="3">
        <v>713</v>
      </c>
      <c r="D27" s="3">
        <v>0.99</v>
      </c>
      <c r="E27" s="3">
        <v>0.96</v>
      </c>
      <c r="F27" s="3">
        <v>1.03</v>
      </c>
      <c r="G27" s="3">
        <v>95.6</v>
      </c>
      <c r="H27" s="3">
        <v>0.78</v>
      </c>
      <c r="I27" s="3">
        <v>1.32</v>
      </c>
      <c r="J27" s="3">
        <v>8.56</v>
      </c>
    </row>
    <row r="28" spans="2:10" x14ac:dyDescent="0.3">
      <c r="C28" s="3">
        <v>715</v>
      </c>
      <c r="D28" s="3">
        <v>1</v>
      </c>
      <c r="E28" s="3">
        <v>0.97</v>
      </c>
      <c r="F28" s="3">
        <v>1.05</v>
      </c>
      <c r="G28" s="3">
        <v>94.6</v>
      </c>
      <c r="H28" s="3">
        <v>0.8</v>
      </c>
      <c r="I28" s="3">
        <v>1.28</v>
      </c>
      <c r="J28" s="3">
        <v>7.45</v>
      </c>
    </row>
    <row r="29" spans="2:10" x14ac:dyDescent="0.3">
      <c r="C29" s="3">
        <v>716</v>
      </c>
      <c r="D29" s="3">
        <v>1</v>
      </c>
      <c r="E29" s="3">
        <v>0.99</v>
      </c>
      <c r="F29" s="3">
        <v>1.02</v>
      </c>
      <c r="G29" s="3">
        <v>95.3</v>
      </c>
      <c r="H29" s="3">
        <v>0.82</v>
      </c>
      <c r="I29" s="3">
        <v>1.22</v>
      </c>
      <c r="J29" s="3">
        <v>5.95</v>
      </c>
    </row>
    <row r="30" spans="2:10" x14ac:dyDescent="0.3">
      <c r="C30" s="3">
        <v>731</v>
      </c>
      <c r="D30" s="3">
        <v>1</v>
      </c>
      <c r="E30" s="3">
        <v>0.94</v>
      </c>
      <c r="F30" s="3">
        <v>1.05</v>
      </c>
      <c r="G30" s="3">
        <v>92.2</v>
      </c>
      <c r="H30" s="3">
        <v>0.9</v>
      </c>
      <c r="I30" s="3">
        <v>1.18</v>
      </c>
      <c r="J30" s="3">
        <v>7.59</v>
      </c>
    </row>
    <row r="31" spans="2:10" x14ac:dyDescent="0.3">
      <c r="C31" s="3">
        <v>734</v>
      </c>
      <c r="D31" s="3">
        <v>1</v>
      </c>
      <c r="E31" s="3">
        <v>0.92</v>
      </c>
      <c r="F31" s="3">
        <v>1.03</v>
      </c>
      <c r="G31" s="3">
        <v>93.5</v>
      </c>
      <c r="H31" s="3">
        <v>0.85</v>
      </c>
      <c r="I31" s="3">
        <v>1.1599999999999999</v>
      </c>
      <c r="J31" s="3">
        <v>7.16</v>
      </c>
    </row>
    <row r="32" spans="2:10" x14ac:dyDescent="0.3">
      <c r="C32" s="3">
        <v>736</v>
      </c>
      <c r="D32" s="3">
        <v>1.0900000000000001</v>
      </c>
      <c r="E32" s="3">
        <v>0.97</v>
      </c>
      <c r="F32" s="3">
        <v>1.1000000000000001</v>
      </c>
      <c r="G32" s="3">
        <v>93.6</v>
      </c>
      <c r="H32" s="3">
        <v>0.89</v>
      </c>
      <c r="I32" s="3">
        <v>1.24</v>
      </c>
      <c r="J32" s="3">
        <v>6.65</v>
      </c>
    </row>
    <row r="33" spans="2:14" x14ac:dyDescent="0.3">
      <c r="C33" s="3">
        <v>737</v>
      </c>
      <c r="D33" s="3">
        <v>0.99</v>
      </c>
      <c r="E33" s="3">
        <v>0.96</v>
      </c>
      <c r="F33" s="3">
        <v>1.01</v>
      </c>
      <c r="G33" s="3">
        <v>93.7</v>
      </c>
      <c r="H33" s="3">
        <v>0.76</v>
      </c>
      <c r="I33" s="3">
        <v>1.22</v>
      </c>
      <c r="J33" s="3">
        <v>7.94</v>
      </c>
    </row>
    <row r="34" spans="2:14" x14ac:dyDescent="0.3">
      <c r="N34" s="22"/>
    </row>
    <row r="35" spans="2:14" x14ac:dyDescent="0.3">
      <c r="B35" s="6" t="s">
        <v>109</v>
      </c>
      <c r="C35" s="46"/>
      <c r="D35" s="3" t="s">
        <v>38</v>
      </c>
      <c r="E35" s="3" t="s">
        <v>104</v>
      </c>
      <c r="F35" s="3" t="s">
        <v>105</v>
      </c>
      <c r="G35" s="3" t="s">
        <v>36</v>
      </c>
      <c r="H35" s="3" t="s">
        <v>37</v>
      </c>
      <c r="I35" s="3" t="s">
        <v>102</v>
      </c>
      <c r="N35" s="22"/>
    </row>
    <row r="36" spans="2:14" x14ac:dyDescent="0.3">
      <c r="C36" s="3">
        <v>40</v>
      </c>
      <c r="D36" s="3">
        <v>0.92</v>
      </c>
      <c r="E36" s="3">
        <v>0.85</v>
      </c>
      <c r="F36" s="3">
        <v>0.93</v>
      </c>
      <c r="G36" s="3">
        <v>0.85</v>
      </c>
      <c r="H36" s="3">
        <v>0.93</v>
      </c>
      <c r="I36" s="3">
        <v>1.95</v>
      </c>
      <c r="N36" s="44">
        <v>1</v>
      </c>
    </row>
    <row r="37" spans="2:14" x14ac:dyDescent="0.3">
      <c r="C37" s="3">
        <v>51</v>
      </c>
      <c r="D37" s="3">
        <v>0.85</v>
      </c>
      <c r="E37" s="3">
        <v>0.85</v>
      </c>
      <c r="F37" s="3">
        <v>0.85</v>
      </c>
      <c r="G37" s="3">
        <v>0.85</v>
      </c>
      <c r="H37" s="3">
        <v>0.85</v>
      </c>
      <c r="I37" s="3">
        <v>0</v>
      </c>
      <c r="N37" s="44">
        <v>2</v>
      </c>
    </row>
    <row r="38" spans="2:14" x14ac:dyDescent="0.3">
      <c r="C38" s="3">
        <v>80</v>
      </c>
      <c r="D38" s="3">
        <v>1.02</v>
      </c>
      <c r="E38" s="3">
        <v>0.98</v>
      </c>
      <c r="F38" s="3">
        <v>1.0900000000000001</v>
      </c>
      <c r="G38" s="3">
        <v>0.91</v>
      </c>
      <c r="H38" s="3">
        <v>1.37</v>
      </c>
      <c r="I38" s="3">
        <v>8.69</v>
      </c>
      <c r="N38" s="45">
        <v>3</v>
      </c>
    </row>
    <row r="39" spans="2:14" x14ac:dyDescent="0.3">
      <c r="C39" s="3">
        <v>81</v>
      </c>
      <c r="D39" s="3">
        <v>0.94</v>
      </c>
      <c r="E39" s="3">
        <v>0.78</v>
      </c>
      <c r="F39" s="3">
        <v>1.1299999999999999</v>
      </c>
      <c r="G39" s="3">
        <v>0.78</v>
      </c>
      <c r="H39" s="3">
        <v>1.1299999999999999</v>
      </c>
      <c r="I39" s="3">
        <v>7.58</v>
      </c>
    </row>
    <row r="40" spans="2:14" x14ac:dyDescent="0.3">
      <c r="C40" s="3">
        <v>90</v>
      </c>
      <c r="D40" s="3">
        <v>1</v>
      </c>
      <c r="E40" s="3">
        <v>1</v>
      </c>
      <c r="F40" s="3">
        <v>1.02</v>
      </c>
      <c r="G40" s="3">
        <v>0.76</v>
      </c>
      <c r="H40" s="3">
        <v>1.24</v>
      </c>
      <c r="I40" s="3">
        <v>7.05</v>
      </c>
    </row>
    <row r="41" spans="2:14" x14ac:dyDescent="0.3">
      <c r="C41" s="3">
        <v>92</v>
      </c>
      <c r="D41" s="3">
        <v>1.05</v>
      </c>
      <c r="E41" s="3">
        <v>0.97</v>
      </c>
      <c r="F41" s="3">
        <v>1.28</v>
      </c>
      <c r="G41" s="3">
        <v>0.97</v>
      </c>
      <c r="H41" s="3">
        <v>1.28</v>
      </c>
      <c r="I41" s="3">
        <v>7.18</v>
      </c>
    </row>
    <row r="42" spans="2:14" x14ac:dyDescent="0.3">
      <c r="C42" s="3">
        <v>140</v>
      </c>
      <c r="D42" s="3">
        <v>1</v>
      </c>
      <c r="E42" s="3">
        <v>0.98</v>
      </c>
      <c r="F42" s="3">
        <v>1.01</v>
      </c>
      <c r="G42" s="3">
        <v>0.79</v>
      </c>
      <c r="H42" s="3">
        <v>1.22</v>
      </c>
      <c r="I42" s="3">
        <v>6.73</v>
      </c>
    </row>
    <row r="43" spans="2:14" x14ac:dyDescent="0.3">
      <c r="C43" s="3">
        <v>142</v>
      </c>
      <c r="D43" s="3">
        <v>0.91</v>
      </c>
      <c r="E43" s="3">
        <v>0.86</v>
      </c>
      <c r="F43" s="3">
        <v>0.97</v>
      </c>
      <c r="G43" s="3">
        <v>0.86</v>
      </c>
      <c r="H43" s="3">
        <v>0.97</v>
      </c>
      <c r="I43" s="3">
        <v>4.4400000000000004</v>
      </c>
    </row>
    <row r="44" spans="2:14" x14ac:dyDescent="0.3">
      <c r="C44" s="3">
        <v>145</v>
      </c>
      <c r="D44" s="3">
        <v>0.93</v>
      </c>
      <c r="E44" s="3">
        <v>0.82</v>
      </c>
      <c r="F44" s="3">
        <v>1.03</v>
      </c>
      <c r="G44" s="3">
        <v>0.82</v>
      </c>
      <c r="H44" s="3">
        <v>1.03</v>
      </c>
      <c r="I44" s="3">
        <v>6.08</v>
      </c>
    </row>
    <row r="45" spans="2:14" x14ac:dyDescent="0.3">
      <c r="C45" s="3">
        <v>147</v>
      </c>
      <c r="D45" s="3">
        <v>1.08</v>
      </c>
      <c r="E45" s="3">
        <v>1.06</v>
      </c>
      <c r="F45" s="3">
        <v>1.0900000000000001</v>
      </c>
      <c r="G45" s="3">
        <v>1.06</v>
      </c>
      <c r="H45" s="3">
        <v>1.0900000000000001</v>
      </c>
      <c r="I45" s="3">
        <v>1.29</v>
      </c>
    </row>
    <row r="46" spans="2:14" x14ac:dyDescent="0.3">
      <c r="C46" s="3">
        <v>150</v>
      </c>
      <c r="D46" s="3">
        <v>1</v>
      </c>
      <c r="E46" s="3">
        <v>0.9</v>
      </c>
      <c r="F46" s="3">
        <v>1.1000000000000001</v>
      </c>
      <c r="G46" s="3">
        <v>0.9</v>
      </c>
      <c r="H46" s="3">
        <v>1.1000000000000001</v>
      </c>
      <c r="I46" s="3">
        <v>10.43</v>
      </c>
    </row>
    <row r="48" spans="2:14" x14ac:dyDescent="0.3">
      <c r="B48" t="s">
        <v>110</v>
      </c>
      <c r="C48" s="46"/>
      <c r="D48" s="3" t="s">
        <v>38</v>
      </c>
      <c r="E48" s="3" t="s">
        <v>104</v>
      </c>
      <c r="F48" s="3" t="s">
        <v>105</v>
      </c>
      <c r="G48" s="3" t="s">
        <v>36</v>
      </c>
      <c r="H48" s="3" t="s">
        <v>37</v>
      </c>
      <c r="I48" s="3" t="s">
        <v>102</v>
      </c>
    </row>
    <row r="49" spans="3:9" x14ac:dyDescent="0.3">
      <c r="C49" s="3">
        <v>40</v>
      </c>
      <c r="D49" s="3">
        <v>1.01</v>
      </c>
      <c r="E49" s="3">
        <v>0.92</v>
      </c>
      <c r="F49" s="3">
        <v>1.01</v>
      </c>
      <c r="G49" s="3">
        <v>0.92</v>
      </c>
      <c r="H49" s="3">
        <v>1.01</v>
      </c>
      <c r="I49" s="3">
        <v>1.95</v>
      </c>
    </row>
    <row r="50" spans="3:9" x14ac:dyDescent="0.3">
      <c r="C50" s="3">
        <v>51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0</v>
      </c>
    </row>
    <row r="51" spans="3:9" x14ac:dyDescent="0.3">
      <c r="C51" s="3">
        <v>80</v>
      </c>
      <c r="D51" s="3">
        <v>0.98</v>
      </c>
      <c r="E51" s="3">
        <v>0.94</v>
      </c>
      <c r="F51" s="3">
        <v>1.05</v>
      </c>
      <c r="G51" s="3">
        <v>0.87</v>
      </c>
      <c r="H51" s="3">
        <v>1.32</v>
      </c>
      <c r="I51" s="3">
        <v>8.69</v>
      </c>
    </row>
    <row r="52" spans="3:9" x14ac:dyDescent="0.3">
      <c r="C52" s="3">
        <v>81</v>
      </c>
      <c r="D52" s="3">
        <v>0.94</v>
      </c>
      <c r="E52" s="3">
        <v>0.78</v>
      </c>
      <c r="F52" s="3">
        <v>1.1299999999999999</v>
      </c>
      <c r="G52" s="3">
        <v>0.78</v>
      </c>
      <c r="H52" s="3">
        <v>1.1299999999999999</v>
      </c>
      <c r="I52" s="3">
        <v>7.58</v>
      </c>
    </row>
    <row r="53" spans="3:9" x14ac:dyDescent="0.3">
      <c r="C53" s="3">
        <v>90</v>
      </c>
      <c r="D53" s="3">
        <v>1</v>
      </c>
      <c r="E53" s="3">
        <v>1</v>
      </c>
      <c r="F53" s="3">
        <v>1.02</v>
      </c>
      <c r="G53" s="3">
        <v>0.76</v>
      </c>
      <c r="H53" s="3">
        <v>1.24</v>
      </c>
      <c r="I53" s="3">
        <v>7.05</v>
      </c>
    </row>
    <row r="54" spans="3:9" x14ac:dyDescent="0.3">
      <c r="C54" s="3">
        <v>92</v>
      </c>
      <c r="D54" s="3">
        <v>1.05</v>
      </c>
      <c r="E54" s="3">
        <v>0.97</v>
      </c>
      <c r="F54" s="3">
        <v>1.28</v>
      </c>
      <c r="G54" s="3">
        <v>0.97</v>
      </c>
      <c r="H54" s="3">
        <v>1.28</v>
      </c>
      <c r="I54" s="3">
        <v>7.18</v>
      </c>
    </row>
    <row r="55" spans="3:9" x14ac:dyDescent="0.3">
      <c r="C55" s="3">
        <v>140</v>
      </c>
      <c r="D55" s="3">
        <v>1</v>
      </c>
      <c r="E55" s="3">
        <v>0.98</v>
      </c>
      <c r="F55" s="3">
        <v>1.01</v>
      </c>
      <c r="G55" s="3">
        <v>0.79</v>
      </c>
      <c r="H55" s="3">
        <v>1.22</v>
      </c>
      <c r="I55" s="3">
        <v>6.73</v>
      </c>
    </row>
    <row r="56" spans="3:9" x14ac:dyDescent="0.3">
      <c r="C56" s="3">
        <v>142</v>
      </c>
      <c r="D56" s="3">
        <v>1</v>
      </c>
      <c r="E56" s="3">
        <v>0.95</v>
      </c>
      <c r="F56" s="3">
        <v>1.07</v>
      </c>
      <c r="G56" s="3">
        <v>0.95</v>
      </c>
      <c r="H56" s="3">
        <v>1.07</v>
      </c>
      <c r="I56" s="3">
        <v>4.4400000000000004</v>
      </c>
    </row>
    <row r="57" spans="3:9" x14ac:dyDescent="0.3">
      <c r="C57" s="3">
        <v>145</v>
      </c>
      <c r="D57" s="3">
        <v>0.93</v>
      </c>
      <c r="E57" s="3">
        <v>0.82</v>
      </c>
      <c r="F57" s="3">
        <v>1.03</v>
      </c>
      <c r="G57" s="3">
        <v>0.82</v>
      </c>
      <c r="H57" s="3">
        <v>1.03</v>
      </c>
      <c r="I57" s="3">
        <v>6.08</v>
      </c>
    </row>
    <row r="58" spans="3:9" x14ac:dyDescent="0.3">
      <c r="C58" s="3">
        <v>147</v>
      </c>
      <c r="D58" s="3">
        <v>1.08</v>
      </c>
      <c r="E58" s="3">
        <v>1.06</v>
      </c>
      <c r="F58" s="3">
        <v>1.0900000000000001</v>
      </c>
      <c r="G58" s="3">
        <v>1.06</v>
      </c>
      <c r="H58" s="3">
        <v>1.0900000000000001</v>
      </c>
      <c r="I58" s="3">
        <v>1.29</v>
      </c>
    </row>
    <row r="59" spans="3:9" x14ac:dyDescent="0.3">
      <c r="C59" s="3">
        <v>150</v>
      </c>
      <c r="D59" s="3">
        <v>1</v>
      </c>
      <c r="E59" s="3">
        <v>0.9</v>
      </c>
      <c r="F59" s="3">
        <v>1.1000000000000001</v>
      </c>
      <c r="G59" s="3">
        <v>0.9</v>
      </c>
      <c r="H59" s="3">
        <v>1.1000000000000001</v>
      </c>
      <c r="I59" s="3">
        <v>10.43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ED97-04D2-40C2-BA68-FCB4383EFC82}">
  <dimension ref="A1:X37"/>
  <sheetViews>
    <sheetView tabSelected="1" topLeftCell="A13" workbookViewId="0">
      <selection activeCell="B32" sqref="B32"/>
    </sheetView>
  </sheetViews>
  <sheetFormatPr defaultRowHeight="14.4" x14ac:dyDescent="0.3"/>
  <cols>
    <col min="1" max="1" width="15.21875" bestFit="1" customWidth="1"/>
    <col min="2" max="2" width="12.6640625" bestFit="1" customWidth="1"/>
    <col min="3" max="3" width="18" bestFit="1" customWidth="1"/>
    <col min="4" max="4" width="11" bestFit="1" customWidth="1"/>
    <col min="5" max="5" width="12" bestFit="1" customWidth="1"/>
    <col min="6" max="6" width="9" bestFit="1" customWidth="1"/>
  </cols>
  <sheetData>
    <row r="1" spans="1:6" x14ac:dyDescent="0.3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52</v>
      </c>
      <c r="F1" s="10" t="s">
        <v>58</v>
      </c>
    </row>
    <row r="2" spans="1:6" x14ac:dyDescent="0.3">
      <c r="A2" s="10" t="s">
        <v>59</v>
      </c>
      <c r="B2" s="10">
        <v>0.98689629999999995</v>
      </c>
      <c r="C2" s="10">
        <v>10.0158</v>
      </c>
      <c r="D2" s="10">
        <v>14.924265200000001</v>
      </c>
      <c r="E2" s="10">
        <v>3.7006929999999998E-41</v>
      </c>
      <c r="F2" s="10" t="s">
        <v>60</v>
      </c>
    </row>
    <row r="3" spans="1:6" x14ac:dyDescent="0.3">
      <c r="A3" s="10" t="s">
        <v>2</v>
      </c>
      <c r="B3" s="10">
        <v>-9.9439860000000001E-3</v>
      </c>
      <c r="C3" s="10">
        <v>-0.10091940000000001</v>
      </c>
      <c r="D3" s="10">
        <v>-0.87428930000000005</v>
      </c>
      <c r="E3" s="10">
        <v>0.3824302</v>
      </c>
      <c r="F3" s="10">
        <v>2.0813809999999999</v>
      </c>
    </row>
    <row r="4" spans="1:6" x14ac:dyDescent="0.3">
      <c r="A4" s="10" t="s">
        <v>5</v>
      </c>
      <c r="B4" s="10">
        <v>1.200837E-4</v>
      </c>
      <c r="C4" s="10">
        <v>1.218703E-3</v>
      </c>
      <c r="D4" s="10">
        <v>2.6164458000000002</v>
      </c>
      <c r="E4" s="10">
        <v>9.1859560000000003E-3</v>
      </c>
      <c r="F4" s="10">
        <v>2.0811259999999998</v>
      </c>
    </row>
    <row r="5" spans="1:6" x14ac:dyDescent="0.3">
      <c r="A5" s="10" t="s">
        <v>15</v>
      </c>
      <c r="B5" s="10">
        <v>-8.4751439999999999E-6</v>
      </c>
      <c r="C5" s="10">
        <v>-8.6012400000000003E-5</v>
      </c>
      <c r="D5" s="10">
        <v>-0.97273869999999996</v>
      </c>
      <c r="E5" s="10">
        <v>0.33120929999999998</v>
      </c>
      <c r="F5" s="10">
        <v>1.3307979999999999</v>
      </c>
    </row>
    <row r="6" spans="1:6" x14ac:dyDescent="0.3">
      <c r="A6" s="10" t="s">
        <v>3</v>
      </c>
      <c r="B6" s="10">
        <v>-6.629617E-3</v>
      </c>
      <c r="C6" s="10">
        <v>-6.7282540000000002E-2</v>
      </c>
      <c r="D6" s="10">
        <v>-0.86971339999999997</v>
      </c>
      <c r="E6" s="10">
        <v>0.38492379999999998</v>
      </c>
      <c r="F6" s="10">
        <v>1.5910820000000001</v>
      </c>
    </row>
    <row r="7" spans="1:6" x14ac:dyDescent="0.3">
      <c r="A7" s="10" t="s">
        <v>12</v>
      </c>
      <c r="B7" s="10">
        <v>-3.466648E-2</v>
      </c>
      <c r="C7" s="10">
        <v>-0.35182259999999999</v>
      </c>
      <c r="D7" s="10">
        <v>-1.5299822999999999</v>
      </c>
      <c r="E7" s="10">
        <v>0.12672849999999999</v>
      </c>
      <c r="F7" s="10">
        <v>1.2884310000000001</v>
      </c>
    </row>
    <row r="8" spans="1:6" x14ac:dyDescent="0.3">
      <c r="A8" s="10" t="s">
        <v>18</v>
      </c>
      <c r="B8" s="10">
        <v>3.291401E-2</v>
      </c>
      <c r="C8" s="10">
        <v>0.33403709999999998</v>
      </c>
      <c r="D8" s="10">
        <v>1.4944029999999999</v>
      </c>
      <c r="E8" s="10">
        <v>0.1357759</v>
      </c>
      <c r="F8" s="10">
        <v>1.3603019999999999</v>
      </c>
    </row>
    <row r="9" spans="1:6" x14ac:dyDescent="0.3">
      <c r="A9" s="10" t="s">
        <v>13</v>
      </c>
      <c r="B9" s="10">
        <v>-1.6644209999999999E-3</v>
      </c>
      <c r="C9" s="10">
        <v>-1.689185E-2</v>
      </c>
      <c r="D9" s="10">
        <v>-0.4636844</v>
      </c>
      <c r="E9" s="10">
        <v>0.64309959999999999</v>
      </c>
      <c r="F9" s="10">
        <v>1.05931</v>
      </c>
    </row>
    <row r="10" spans="1:6" x14ac:dyDescent="0.3">
      <c r="A10" s="10" t="s">
        <v>22</v>
      </c>
      <c r="B10" s="10">
        <v>2.6343569999999999E-3</v>
      </c>
      <c r="C10" s="10">
        <v>2.6735519999999999E-2</v>
      </c>
      <c r="D10" s="10">
        <v>3.6463022999999999</v>
      </c>
      <c r="E10" s="10">
        <v>2.9734979999999998E-4</v>
      </c>
      <c r="F10" s="10">
        <v>2.8752089999999999</v>
      </c>
    </row>
    <row r="11" spans="1:6" x14ac:dyDescent="0.3">
      <c r="A11" s="10" t="s">
        <v>21</v>
      </c>
      <c r="B11" s="10">
        <v>-2.1528640000000002E-2</v>
      </c>
      <c r="C11" s="10">
        <v>-0.21848960000000001</v>
      </c>
      <c r="D11" s="10">
        <v>-1.0066748999999999</v>
      </c>
      <c r="E11" s="10">
        <v>0.31463560000000002</v>
      </c>
      <c r="F11" s="10">
        <v>1.371246</v>
      </c>
    </row>
    <row r="12" spans="1:6" x14ac:dyDescent="0.3">
      <c r="A12" s="10" t="s">
        <v>14</v>
      </c>
      <c r="B12" s="10">
        <v>1.431985E-2</v>
      </c>
      <c r="C12" s="10">
        <v>0.14532900000000001</v>
      </c>
      <c r="D12" s="10">
        <v>0.78895490000000001</v>
      </c>
      <c r="E12" s="10">
        <v>0.43055660000000001</v>
      </c>
      <c r="F12" s="10">
        <v>1.1447639999999999</v>
      </c>
    </row>
    <row r="13" spans="1:6" x14ac:dyDescent="0.3">
      <c r="A13" s="10" t="s">
        <v>25</v>
      </c>
      <c r="B13" s="10">
        <v>5.5938519999999999E-2</v>
      </c>
      <c r="C13" s="10">
        <v>0.56770790000000004</v>
      </c>
      <c r="D13" s="10">
        <v>3.4504096</v>
      </c>
      <c r="E13" s="10">
        <v>6.1288219999999999E-4</v>
      </c>
      <c r="F13" s="10">
        <v>1.1310199999999999</v>
      </c>
    </row>
    <row r="14" spans="1:6" x14ac:dyDescent="0.3">
      <c r="A14" s="10" t="s">
        <v>27</v>
      </c>
      <c r="B14" s="10">
        <v>-4.8592849999999996E-3</v>
      </c>
      <c r="C14" s="10">
        <v>-4.9315829999999998E-2</v>
      </c>
      <c r="D14" s="10">
        <v>-0.45010080000000002</v>
      </c>
      <c r="E14" s="10">
        <v>0.65285599999999999</v>
      </c>
      <c r="F14" s="10">
        <v>1.2212430000000001</v>
      </c>
    </row>
    <row r="15" spans="1:6" x14ac:dyDescent="0.3">
      <c r="A15" s="10" t="s">
        <v>10</v>
      </c>
      <c r="B15" s="10">
        <v>2.1202970000000001E-5</v>
      </c>
      <c r="C15" s="10">
        <v>2.1518430000000001E-4</v>
      </c>
      <c r="D15" s="10">
        <v>0.70546240000000004</v>
      </c>
      <c r="E15" s="10">
        <v>0.48088999999999998</v>
      </c>
      <c r="F15" s="10">
        <v>4.1209410000000002</v>
      </c>
    </row>
    <row r="16" spans="1:6" x14ac:dyDescent="0.3">
      <c r="A16" s="10" t="s">
        <v>6</v>
      </c>
      <c r="B16" s="10">
        <v>9.0335260000000003E-6</v>
      </c>
      <c r="C16" s="10">
        <v>9.1679299999999995E-5</v>
      </c>
      <c r="D16" s="10">
        <v>0.4147264</v>
      </c>
      <c r="E16" s="10">
        <v>0.67854110000000001</v>
      </c>
      <c r="F16" s="10">
        <v>2.6441789999999998</v>
      </c>
    </row>
    <row r="17" spans="1:13" x14ac:dyDescent="0.3">
      <c r="A17" s="10" t="s">
        <v>7</v>
      </c>
      <c r="B17" s="10">
        <v>-6.315394E-6</v>
      </c>
      <c r="C17" s="10">
        <v>-6.4093559999999996E-5</v>
      </c>
      <c r="D17" s="10">
        <v>-0.28814650000000003</v>
      </c>
      <c r="E17" s="10">
        <v>0.7733681</v>
      </c>
      <c r="F17" s="10">
        <v>1.244599</v>
      </c>
    </row>
    <row r="18" spans="1:13" x14ac:dyDescent="0.3">
      <c r="A18" s="10" t="s">
        <v>23</v>
      </c>
      <c r="B18" s="10">
        <v>3.4385159999999998E-2</v>
      </c>
      <c r="C18" s="10">
        <v>0.34896759999999999</v>
      </c>
      <c r="D18" s="10">
        <v>2.4592559000000001</v>
      </c>
      <c r="E18" s="10">
        <v>1.430035E-2</v>
      </c>
      <c r="F18" s="10">
        <v>2.3032710000000001</v>
      </c>
    </row>
    <row r="19" spans="1:13" x14ac:dyDescent="0.3">
      <c r="A19" s="10" t="s">
        <v>0</v>
      </c>
      <c r="B19" s="10">
        <v>-1.8492359999999999E-2</v>
      </c>
      <c r="C19" s="10">
        <v>-0.18767500000000001</v>
      </c>
      <c r="D19" s="10">
        <v>-1.7363233</v>
      </c>
      <c r="E19" s="10">
        <v>8.3195669999999999E-2</v>
      </c>
      <c r="F19" s="10">
        <v>1.415958</v>
      </c>
    </row>
    <row r="20" spans="1:13" x14ac:dyDescent="0.3">
      <c r="A20" s="10" t="s">
        <v>1</v>
      </c>
      <c r="B20" s="10">
        <v>1.611278E-2</v>
      </c>
      <c r="C20" s="10">
        <v>0.16352510000000001</v>
      </c>
      <c r="D20" s="10">
        <v>1.2294301999999999</v>
      </c>
      <c r="E20" s="10">
        <v>0.21955730000000001</v>
      </c>
      <c r="F20" s="10">
        <v>2.1788470000000002</v>
      </c>
    </row>
    <row r="23" spans="1:13" x14ac:dyDescent="0.3">
      <c r="A23" s="6" t="s">
        <v>111</v>
      </c>
    </row>
    <row r="24" spans="1:13" x14ac:dyDescent="0.3">
      <c r="A24" s="22"/>
      <c r="B24" s="3" t="s">
        <v>25</v>
      </c>
      <c r="C24" s="3" t="s">
        <v>38</v>
      </c>
      <c r="D24" s="3" t="s">
        <v>104</v>
      </c>
      <c r="E24" s="3" t="s">
        <v>105</v>
      </c>
      <c r="F24" s="3" t="s">
        <v>36</v>
      </c>
      <c r="G24" s="3" t="s">
        <v>37</v>
      </c>
      <c r="H24" s="3" t="s">
        <v>102</v>
      </c>
      <c r="J24" t="s">
        <v>103</v>
      </c>
      <c r="M24" t="s">
        <v>106</v>
      </c>
    </row>
    <row r="25" spans="1:13" x14ac:dyDescent="0.3">
      <c r="A25" s="22">
        <v>1</v>
      </c>
      <c r="B25" s="3">
        <v>0</v>
      </c>
      <c r="C25" s="3">
        <v>1</v>
      </c>
      <c r="D25" s="3">
        <v>0.99</v>
      </c>
      <c r="E25" s="3">
        <v>1.01</v>
      </c>
      <c r="F25" s="3">
        <v>0.72</v>
      </c>
      <c r="G25" s="3">
        <v>1.4</v>
      </c>
      <c r="H25" s="3">
        <v>7.41</v>
      </c>
      <c r="J25">
        <v>9.6300000000000008</v>
      </c>
      <c r="M25">
        <v>95.37</v>
      </c>
    </row>
    <row r="26" spans="1:13" x14ac:dyDescent="0.3">
      <c r="A26" s="23">
        <v>2</v>
      </c>
      <c r="B26" s="3">
        <v>1</v>
      </c>
      <c r="C26" s="3">
        <v>1.06</v>
      </c>
      <c r="D26" s="3">
        <v>1</v>
      </c>
      <c r="E26" s="3">
        <v>1.1000000000000001</v>
      </c>
      <c r="F26" s="3">
        <v>0.85</v>
      </c>
      <c r="G26" s="3">
        <v>1.34</v>
      </c>
      <c r="H26" s="3">
        <v>8.02</v>
      </c>
      <c r="J26">
        <v>9.7899999999999991</v>
      </c>
      <c r="M26">
        <v>95.12</v>
      </c>
    </row>
    <row r="29" spans="1:13" x14ac:dyDescent="0.3">
      <c r="A29" s="6" t="s">
        <v>112</v>
      </c>
    </row>
    <row r="31" spans="1:13" x14ac:dyDescent="0.3">
      <c r="B31" s="3" t="s">
        <v>25</v>
      </c>
      <c r="C31" s="3" t="s">
        <v>38</v>
      </c>
      <c r="D31" s="3" t="s">
        <v>104</v>
      </c>
      <c r="E31" s="3" t="s">
        <v>105</v>
      </c>
      <c r="F31" s="3" t="s">
        <v>36</v>
      </c>
      <c r="G31" s="3" t="s">
        <v>37</v>
      </c>
      <c r="H31" s="3" t="s">
        <v>102</v>
      </c>
    </row>
    <row r="32" spans="1:13" x14ac:dyDescent="0.3">
      <c r="B32" s="3">
        <v>0</v>
      </c>
      <c r="C32" s="3">
        <v>1</v>
      </c>
      <c r="D32" s="3">
        <v>0.99</v>
      </c>
      <c r="E32" s="3">
        <v>1.01</v>
      </c>
      <c r="F32" s="3">
        <v>0.72</v>
      </c>
      <c r="G32" s="3">
        <v>1.4</v>
      </c>
      <c r="H32" s="3">
        <v>7.41</v>
      </c>
    </row>
    <row r="33" spans="2:24" x14ac:dyDescent="0.3">
      <c r="B33" s="3">
        <v>1</v>
      </c>
      <c r="C33" s="3">
        <v>1</v>
      </c>
      <c r="D33" s="3">
        <v>0.95</v>
      </c>
      <c r="E33" s="3">
        <v>1.04</v>
      </c>
      <c r="F33" s="3">
        <v>0.8</v>
      </c>
      <c r="G33" s="3">
        <v>1.26</v>
      </c>
      <c r="H33" s="3">
        <v>8.02</v>
      </c>
    </row>
    <row r="35" spans="2:24" x14ac:dyDescent="0.3">
      <c r="L35" s="22"/>
      <c r="M35" t="s">
        <v>25</v>
      </c>
      <c r="N35" t="s">
        <v>34</v>
      </c>
      <c r="O35" t="s">
        <v>100</v>
      </c>
      <c r="P35" t="s">
        <v>101</v>
      </c>
      <c r="Q35" t="s">
        <v>38</v>
      </c>
      <c r="R35" t="s">
        <v>36</v>
      </c>
      <c r="S35" t="s">
        <v>37</v>
      </c>
      <c r="T35" t="s">
        <v>102</v>
      </c>
      <c r="U35" t="s">
        <v>103</v>
      </c>
      <c r="V35" t="s">
        <v>104</v>
      </c>
      <c r="W35" t="s">
        <v>105</v>
      </c>
      <c r="X35" t="s">
        <v>106</v>
      </c>
    </row>
    <row r="36" spans="2:24" x14ac:dyDescent="0.3">
      <c r="L36" s="22">
        <v>1</v>
      </c>
      <c r="M36">
        <v>0</v>
      </c>
      <c r="N36">
        <v>1</v>
      </c>
      <c r="O36">
        <v>0.99</v>
      </c>
      <c r="P36">
        <v>1.01</v>
      </c>
      <c r="Q36">
        <v>1</v>
      </c>
      <c r="R36">
        <v>0.72</v>
      </c>
      <c r="S36">
        <v>1.4</v>
      </c>
      <c r="T36">
        <v>7.41</v>
      </c>
      <c r="U36">
        <v>9.6300000000000008</v>
      </c>
      <c r="V36">
        <v>0.99</v>
      </c>
      <c r="W36">
        <v>1.01</v>
      </c>
      <c r="X36">
        <v>95.37</v>
      </c>
    </row>
    <row r="37" spans="2:24" x14ac:dyDescent="0.3">
      <c r="L37" s="23">
        <v>2</v>
      </c>
      <c r="M37">
        <v>1</v>
      </c>
      <c r="N37">
        <v>1</v>
      </c>
      <c r="O37">
        <v>0.97</v>
      </c>
      <c r="P37">
        <v>1.03</v>
      </c>
      <c r="Q37">
        <v>1</v>
      </c>
      <c r="R37">
        <v>0.8</v>
      </c>
      <c r="S37">
        <v>1.26</v>
      </c>
      <c r="T37">
        <v>8.02</v>
      </c>
      <c r="U37">
        <v>9.7899999999999991</v>
      </c>
      <c r="V37">
        <v>0.95</v>
      </c>
      <c r="W37">
        <v>1.04</v>
      </c>
      <c r="X37">
        <v>95.12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Correlation with Response</vt:lpstr>
      <vt:lpstr>Descriptive Analysis</vt:lpstr>
      <vt:lpstr>Multicollinearity</vt:lpstr>
      <vt:lpstr>Saleprice in neigh</vt:lpstr>
      <vt:lpstr>Included For Modeling</vt:lpstr>
      <vt:lpstr>Variable Groups</vt:lpstr>
      <vt:lpstr>StepWise Model</vt:lpstr>
      <vt:lpstr>Model Testing</vt:lpstr>
      <vt:lpstr>ASR Modeling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Helisaz, Hamed</dc:creator>
  <cp:lastModifiedBy>Helisaz, Hamed</cp:lastModifiedBy>
  <dcterms:created xsi:type="dcterms:W3CDTF">2025-03-13T04:44:52Z</dcterms:created>
  <dcterms:modified xsi:type="dcterms:W3CDTF">2025-03-24T22:35:38Z</dcterms:modified>
</cp:coreProperties>
</file>